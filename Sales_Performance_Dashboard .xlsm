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https://d.docs.live.net/9cae52c0aa561ab3/Desktop/"/>
    </mc:Choice>
  </mc:AlternateContent>
  <xr:revisionPtr revIDLastSave="46" documentId="8_{E7DCFCE6-75AB-458E-B3C1-A9335320D18A}" xr6:coauthVersionLast="47" xr6:coauthVersionMax="47" xr10:uidLastSave="{C136C73D-F85B-4474-82B6-3315E868296E}"/>
  <bookViews>
    <workbookView xWindow="-108" yWindow="-108" windowWidth="23256" windowHeight="12456" xr2:uid="{00000000-000D-0000-FFFF-FFFF00000000}"/>
  </bookViews>
  <sheets>
    <sheet name="Sales dataset" sheetId="1" r:id="rId1"/>
    <sheet name="Total sales by region" sheetId="2" r:id="rId2"/>
    <sheet name="total sales by month" sheetId="3" r:id="rId3"/>
    <sheet name="total sales by product" sheetId="5" r:id="rId4"/>
    <sheet name="Total sales by sales rep" sheetId="6" r:id="rId5"/>
    <sheet name="Dashboard of Total sales" sheetId="7" r:id="rId6"/>
    <sheet name="USERFORM" sheetId="8" r:id="rId7"/>
  </sheets>
  <definedNames>
    <definedName name="_xlcn.WorksheetConnection_Sales_Performance_Dashboard_Dataset.xlsxTable11" hidden="1">Table1[]</definedName>
    <definedName name="NativeTimeline_Date">#N/A</definedName>
    <definedName name="Slicer_Months__Date">#N/A</definedName>
    <definedName name="Slicer_Product">#N/A</definedName>
    <definedName name="Slicer_Region">#N/A</definedName>
  </definedNames>
  <calcPr calcId="191029"/>
  <pivotCaches>
    <pivotCache cacheId="1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FCE2AD5D-F65C-4FA6-A056-5C36A1767C68}">
      <x15:dataModel>
        <x15:modelTables>
          <x15:modelTable id="Table1" name="Table1" connection="WorksheetConnection_Sales_Performance_Dashboard_Dataset.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049C84-055A-4A2C-B27D-B21D51C9D04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303B842-5C5B-445B-9456-3456236FCD29}" name="WorksheetConnection_Sales_Performance_Dashboard_Dataset.xlsx!Table1" type="102" refreshedVersion="8" minRefreshableVersion="5">
    <extLst>
      <ext xmlns:x15="http://schemas.microsoft.com/office/spreadsheetml/2010/11/main" uri="{DE250136-89BD-433C-8126-D09CA5730AF9}">
        <x15:connection id="Table1">
          <x15:rangePr sourceName="_xlcn.WorksheetConnection_Sales_Performance_Dashboard_Dataset.xlsxTable11"/>
        </x15:connection>
      </ext>
    </extLst>
  </connection>
</connections>
</file>

<file path=xl/sharedStrings.xml><?xml version="1.0" encoding="utf-8"?>
<sst xmlns="http://schemas.openxmlformats.org/spreadsheetml/2006/main" count="652" uniqueCount="38">
  <si>
    <t>Date</t>
  </si>
  <si>
    <t>Region</t>
  </si>
  <si>
    <t>Product</t>
  </si>
  <si>
    <t>Sales Rep</t>
  </si>
  <si>
    <t>Units Sold</t>
  </si>
  <si>
    <t>Unit Price</t>
  </si>
  <si>
    <t>South</t>
  </si>
  <si>
    <t>North</t>
  </si>
  <si>
    <t>West</t>
  </si>
  <si>
    <t>East</t>
  </si>
  <si>
    <t>Printer</t>
  </si>
  <si>
    <t>Laptop</t>
  </si>
  <si>
    <t>Tablet</t>
  </si>
  <si>
    <t>Monitor</t>
  </si>
  <si>
    <t>Smartphone</t>
  </si>
  <si>
    <t>David</t>
  </si>
  <si>
    <t>Eva</t>
  </si>
  <si>
    <t>Charlie</t>
  </si>
  <si>
    <t>Bob</t>
  </si>
  <si>
    <t>Alice</t>
  </si>
  <si>
    <t>Row Labels</t>
  </si>
  <si>
    <t>Grand Total</t>
  </si>
  <si>
    <t>Sum of Total Sales</t>
  </si>
  <si>
    <t>(All)</t>
  </si>
  <si>
    <t>Jan</t>
  </si>
  <si>
    <t>Feb</t>
  </si>
  <si>
    <t>Mar</t>
  </si>
  <si>
    <t>Apr</t>
  </si>
  <si>
    <t>May</t>
  </si>
  <si>
    <t>Jun</t>
  </si>
  <si>
    <t>Jul</t>
  </si>
  <si>
    <t>Aug</t>
  </si>
  <si>
    <t>Sep</t>
  </si>
  <si>
    <t>Oct</t>
  </si>
  <si>
    <t>Nov</t>
  </si>
  <si>
    <t>Dec</t>
  </si>
  <si>
    <t xml:space="preserve">Total Sales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</si>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</sst>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1">
    <xf numFmtId="0" fontId="0" fillId="0" borderId="0" xfId="0"/>
    <xf numFmtId="0" fontId="0" fillId="0" borderId="0" xfId="0" applyNumberFormat="1"/>
    <xf numFmtId="14" fontId="0" fillId="0" borderId="0" xfId="0" applyNumberFormat="1"/>
    <xf numFmtId="14" fontId="1" fillId="0" borderId="1" xfId="0" applyNumberFormat="1" applyFont="1" applyBorder="1" applyAlignment="1">
      <alignment horizontal="center" vertical="top"/>
    </xf>
    <xf numFmtId="0" fontId="1" fillId="0" borderId="1" xfId="0" applyNumberFormat="1" applyFont="1" applyBorder="1" applyAlignment="1">
      <alignment horizontal="center" vertical="top"/>
    </xf>
    <xf numFmtId="2" fontId="1" fillId="0" borderId="1" xfId="0" applyNumberFormat="1" applyFont="1" applyBorder="1" applyAlignment="1">
      <alignment horizontal="center" vertical="top"/>
    </xf>
    <xf numFmtId="2" fontId="0" fillId="0" borderId="0" xfId="0" applyNumberFormat="1"/>
    <xf numFmtId="1" fontId="1" fillId="0" borderId="1" xfId="0" applyNumberFormat="1" applyFont="1" applyBorder="1" applyAlignment="1">
      <alignment horizontal="center" vertical="top"/>
    </xf>
    <xf numFmtId="1"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10">
    <dxf>
      <numFmt numFmtId="0" formatCode="General"/>
    </dxf>
    <dxf>
      <numFmt numFmtId="1" formatCode="0"/>
    </dxf>
    <dxf>
      <numFmt numFmtId="2" formatCode="0.00"/>
    </dxf>
    <dxf>
      <font>
        <b/>
        <i val="0"/>
        <strike val="0"/>
        <condense val="0"/>
        <extend val="0"/>
        <outline val="0"/>
        <shadow val="0"/>
        <u val="none"/>
        <vertAlign val="baseline"/>
        <sz val="11"/>
        <color theme="1"/>
        <name val="Calibri"/>
        <family val="2"/>
        <scheme val="minor"/>
      </font>
      <numFmt numFmtId="0" formatCode="General"/>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0" formatCode="General"/>
    </dxf>
    <dxf>
      <numFmt numFmtId="19" formatCode="dd/mm/yyyy"/>
    </dxf>
    <dxf>
      <border outline="0">
        <bottom style="thin">
          <color auto="1"/>
        </bottom>
      </border>
    </dxf>
    <dxf>
      <border outline="0">
        <top style="thin">
          <color auto="1"/>
        </top>
      </border>
    </dxf>
  </dxfs>
  <tableStyles count="0" defaultTableStyle="TableStyleMedium9"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28" Type="http://schemas.openxmlformats.org/officeDocument/2006/relationships/customXml" Target="../customXml/item10.xml"/><Relationship Id="rId10" Type="http://schemas.microsoft.com/office/2007/relationships/slicerCache" Target="slicerCaches/slicerCache2.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region!PivotTable1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w="19050">
            <a:solidFill>
              <a:schemeClr val="lt1"/>
            </a:solidFill>
          </a:ln>
          <a:effectLst/>
        </c:spPr>
      </c:pivotFmt>
      <c:pivotFmt>
        <c:idx val="2"/>
        <c:spPr>
          <a:solidFill>
            <a:schemeClr val="accent2"/>
          </a:solidFill>
          <a:ln w="19050">
            <a:solidFill>
              <a:schemeClr val="lt1"/>
            </a:solidFill>
          </a:ln>
          <a:effectLst/>
        </c:spPr>
        <c:dLbl>
          <c:idx val="0"/>
          <c:layout>
            <c:manualLayout>
              <c:x val="-6.9812992125984255E-2"/>
              <c:y val="0.136150481189851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w="19050">
            <a:solidFill>
              <a:schemeClr val="lt1"/>
            </a:solidFill>
          </a:ln>
          <a:effectLst/>
        </c:spPr>
      </c:pivotFmt>
      <c:pivotFmt>
        <c:idx val="4"/>
        <c:spPr>
          <a:solidFill>
            <a:schemeClr val="accent5">
              <a:lumMod val="60000"/>
              <a:lumOff val="40000"/>
            </a:schemeClr>
          </a:solidFill>
          <a:ln w="19050">
            <a:solidFill>
              <a:schemeClr val="lt1"/>
            </a:solidFill>
          </a:ln>
          <a:effectLst/>
        </c:spPr>
      </c:pivotFmt>
    </c:pivotFmts>
    <c:plotArea>
      <c:layout>
        <c:manualLayout>
          <c:layoutTarget val="inner"/>
          <c:xMode val="edge"/>
          <c:yMode val="edge"/>
          <c:x val="0.34113385826771653"/>
          <c:y val="0.30576844561096528"/>
          <c:w val="0.30432524059492566"/>
          <c:h val="0.50720873432487601"/>
        </c:manualLayout>
      </c:layout>
      <c:pieChart>
        <c:varyColors val="1"/>
        <c:ser>
          <c:idx val="0"/>
          <c:order val="0"/>
          <c:tx>
            <c:strRef>
              <c:f>'Total sales by region'!$B$3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3-63A3-441E-8F2C-22CF871F9342}"/>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2-63A3-441E-8F2C-22CF871F9342}"/>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4-63A3-441E-8F2C-22CF871F9342}"/>
              </c:ext>
            </c:extLst>
          </c:dPt>
          <c:dPt>
            <c:idx val="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5-63A3-441E-8F2C-22CF871F9342}"/>
              </c:ext>
            </c:extLst>
          </c:dPt>
          <c:dLbls>
            <c:dLbl>
              <c:idx val="0"/>
              <c:layout>
                <c:manualLayout>
                  <c:x val="-6.9812992125984255E-2"/>
                  <c:y val="0.1361504811898512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A3-441E-8F2C-22CF871F93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by region'!$A$4:$A$8</c:f>
              <c:strCache>
                <c:ptCount val="4"/>
                <c:pt idx="0">
                  <c:v>East</c:v>
                </c:pt>
                <c:pt idx="1">
                  <c:v>North</c:v>
                </c:pt>
                <c:pt idx="2">
                  <c:v>South</c:v>
                </c:pt>
                <c:pt idx="3">
                  <c:v>West</c:v>
                </c:pt>
              </c:strCache>
            </c:strRef>
          </c:cat>
          <c:val>
            <c:numRef>
              <c:f>'Total sales by region'!$B$4:$B$8</c:f>
              <c:numCache>
                <c:formatCode>0</c:formatCode>
                <c:ptCount val="4"/>
                <c:pt idx="0">
                  <c:v>286163</c:v>
                </c:pt>
                <c:pt idx="1">
                  <c:v>373567</c:v>
                </c:pt>
                <c:pt idx="2">
                  <c:v>351149</c:v>
                </c:pt>
                <c:pt idx="3">
                  <c:v>271249</c:v>
                </c:pt>
              </c:numCache>
            </c:numRef>
          </c:val>
          <c:extLst>
            <c:ext xmlns:c16="http://schemas.microsoft.com/office/drawing/2014/chart" uri="{C3380CC4-5D6E-409C-BE32-E72D297353CC}">
              <c16:uniqueId val="{00000000-63A3-441E-8F2C-22CF871F934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214829396325459"/>
          <c:y val="0.53564486730825311"/>
          <c:w val="0.10229615048118985"/>
          <c:h val="0.306715150189559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month!PivotTable2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7415917272636E-2"/>
          <c:y val="0.24617560086648557"/>
          <c:w val="0.82674712792048533"/>
          <c:h val="0.56467667251200582"/>
        </c:manualLayout>
      </c:layout>
      <c:barChart>
        <c:barDir val="col"/>
        <c:grouping val="clustered"/>
        <c:varyColors val="0"/>
        <c:ser>
          <c:idx val="0"/>
          <c:order val="0"/>
          <c:tx>
            <c:strRef>
              <c:f>'total sales by month'!$B$3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sales by month'!$B$4:$B$16</c:f>
              <c:numCache>
                <c:formatCode>0</c:formatCode>
                <c:ptCount val="12"/>
                <c:pt idx="0">
                  <c:v>93983</c:v>
                </c:pt>
                <c:pt idx="1">
                  <c:v>98519</c:v>
                </c:pt>
                <c:pt idx="2">
                  <c:v>78466</c:v>
                </c:pt>
                <c:pt idx="3">
                  <c:v>106891</c:v>
                </c:pt>
                <c:pt idx="4">
                  <c:v>78794</c:v>
                </c:pt>
                <c:pt idx="5">
                  <c:v>91651</c:v>
                </c:pt>
                <c:pt idx="6">
                  <c:v>142780</c:v>
                </c:pt>
                <c:pt idx="7">
                  <c:v>106490</c:v>
                </c:pt>
                <c:pt idx="8">
                  <c:v>106389</c:v>
                </c:pt>
                <c:pt idx="9">
                  <c:v>86838</c:v>
                </c:pt>
                <c:pt idx="10">
                  <c:v>228482</c:v>
                </c:pt>
                <c:pt idx="11">
                  <c:v>62845</c:v>
                </c:pt>
              </c:numCache>
            </c:numRef>
          </c:val>
          <c:extLst>
            <c:ext xmlns:c16="http://schemas.microsoft.com/office/drawing/2014/chart" uri="{C3380CC4-5D6E-409C-BE32-E72D297353CC}">
              <c16:uniqueId val="{00000000-E36D-42DF-ACC8-5967BCD5986D}"/>
            </c:ext>
          </c:extLst>
        </c:ser>
        <c:dLbls>
          <c:dLblPos val="outEnd"/>
          <c:showLegendKey val="0"/>
          <c:showVal val="1"/>
          <c:showCatName val="0"/>
          <c:showSerName val="0"/>
          <c:showPercent val="0"/>
          <c:showBubbleSize val="0"/>
        </c:dLbls>
        <c:gapWidth val="116"/>
        <c:overlap val="-27"/>
        <c:axId val="1016777616"/>
        <c:axId val="1016776176"/>
      </c:barChart>
      <c:catAx>
        <c:axId val="101677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76176"/>
        <c:crosses val="autoZero"/>
        <c:auto val="1"/>
        <c:lblAlgn val="ctr"/>
        <c:lblOffset val="100"/>
        <c:noMultiLvlLbl val="0"/>
      </c:catAx>
      <c:valAx>
        <c:axId val="1016776176"/>
        <c:scaling>
          <c:orientation val="minMax"/>
        </c:scaling>
        <c:delete val="0"/>
        <c:axPos val="l"/>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77616"/>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product!PivotTable3</c:name>
    <c:fmtId val="2"/>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total sales by product</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'total sales by product'!$B$3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 sales by product'!$A$4:$A$9</c:f>
              <c:strCache>
                <c:ptCount val="5"/>
                <c:pt idx="0">
                  <c:v>Laptop</c:v>
                </c:pt>
                <c:pt idx="1">
                  <c:v>Monitor</c:v>
                </c:pt>
                <c:pt idx="2">
                  <c:v>Printer</c:v>
                </c:pt>
                <c:pt idx="3">
                  <c:v>Smartphone</c:v>
                </c:pt>
                <c:pt idx="4">
                  <c:v>Tablet</c:v>
                </c:pt>
              </c:strCache>
            </c:strRef>
          </c:cat>
          <c:val>
            <c:numRef>
              <c:f>'total sales by product'!$B$4:$B$9</c:f>
              <c:numCache>
                <c:formatCode>0</c:formatCode>
                <c:ptCount val="5"/>
                <c:pt idx="0">
                  <c:v>300816</c:v>
                </c:pt>
                <c:pt idx="1">
                  <c:v>248247</c:v>
                </c:pt>
                <c:pt idx="2">
                  <c:v>202003</c:v>
                </c:pt>
                <c:pt idx="3">
                  <c:v>207105</c:v>
                </c:pt>
                <c:pt idx="4">
                  <c:v>323957</c:v>
                </c:pt>
              </c:numCache>
            </c:numRef>
          </c:val>
          <c:extLst>
            <c:ext xmlns:c16="http://schemas.microsoft.com/office/drawing/2014/chart" uri="{C3380CC4-5D6E-409C-BE32-E72D297353CC}">
              <c16:uniqueId val="{00000000-3622-4DFD-A7BF-6F32640806E8}"/>
            </c:ext>
          </c:extLst>
        </c:ser>
        <c:dLbls>
          <c:showLegendKey val="0"/>
          <c:showVal val="1"/>
          <c:showCatName val="0"/>
          <c:showSerName val="0"/>
          <c:showPercent val="0"/>
          <c:showBubbleSize val="0"/>
        </c:dLbls>
        <c:gapWidth val="84"/>
        <c:gapDepth val="53"/>
        <c:shape val="box"/>
        <c:axId val="2122035104"/>
        <c:axId val="2122036064"/>
        <c:axId val="0"/>
      </c:bar3DChart>
      <c:catAx>
        <c:axId val="2122035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2036064"/>
        <c:crosses val="autoZero"/>
        <c:auto val="1"/>
        <c:lblAlgn val="ctr"/>
        <c:lblOffset val="100"/>
        <c:noMultiLvlLbl val="0"/>
      </c:catAx>
      <c:valAx>
        <c:axId val="2122036064"/>
        <c:scaling>
          <c:orientation val="minMax"/>
        </c:scaling>
        <c:delete val="1"/>
        <c:axPos val="b"/>
        <c:numFmt formatCode="0" sourceLinked="1"/>
        <c:majorTickMark val="out"/>
        <c:minorTickMark val="none"/>
        <c:tickLblPos val="nextTo"/>
        <c:crossAx val="2122035104"/>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sales rep!PivotTable4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salrs by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'Total sales by sales rep'!$B$3</c:f>
              <c:strCache>
                <c:ptCount val="1"/>
                <c:pt idx="0">
                  <c:v>Total</c:v>
                </c:pt>
              </c:strCache>
            </c:strRef>
          </c:tx>
          <c:spPr>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sales rep'!$A$4:$A$9</c:f>
              <c:strCache>
                <c:ptCount val="5"/>
                <c:pt idx="0">
                  <c:v>Alice</c:v>
                </c:pt>
                <c:pt idx="1">
                  <c:v>Bob</c:v>
                </c:pt>
                <c:pt idx="2">
                  <c:v>Charlie</c:v>
                </c:pt>
                <c:pt idx="3">
                  <c:v>David</c:v>
                </c:pt>
                <c:pt idx="4">
                  <c:v>Eva</c:v>
                </c:pt>
              </c:strCache>
            </c:strRef>
          </c:cat>
          <c:val>
            <c:numRef>
              <c:f>'Total sales by sales rep'!$B$4:$B$9</c:f>
              <c:numCache>
                <c:formatCode>0</c:formatCode>
                <c:ptCount val="5"/>
                <c:pt idx="0">
                  <c:v>248359</c:v>
                </c:pt>
                <c:pt idx="1">
                  <c:v>230932</c:v>
                </c:pt>
                <c:pt idx="2">
                  <c:v>297944</c:v>
                </c:pt>
                <c:pt idx="3">
                  <c:v>244689</c:v>
                </c:pt>
                <c:pt idx="4">
                  <c:v>260204</c:v>
                </c:pt>
              </c:numCache>
            </c:numRef>
          </c:val>
          <c:smooth val="0"/>
          <c:extLst>
            <c:ext xmlns:c16="http://schemas.microsoft.com/office/drawing/2014/chart" uri="{C3380CC4-5D6E-409C-BE32-E72D297353CC}">
              <c16:uniqueId val="{00000000-8842-44AA-B05F-5A8980F8AF32}"/>
            </c:ext>
          </c:extLst>
        </c:ser>
        <c:dLbls>
          <c:dLblPos val="t"/>
          <c:showLegendKey val="0"/>
          <c:showVal val="1"/>
          <c:showCatName val="0"/>
          <c:showSerName val="0"/>
          <c:showPercent val="0"/>
          <c:showBubbleSize val="0"/>
        </c:dLbls>
        <c:marker val="1"/>
        <c:smooth val="0"/>
        <c:axId val="184938144"/>
        <c:axId val="2124714448"/>
      </c:lineChart>
      <c:catAx>
        <c:axId val="18493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14448"/>
        <c:crosses val="autoZero"/>
        <c:auto val="1"/>
        <c:lblAlgn val="ctr"/>
        <c:lblOffset val="100"/>
        <c:noMultiLvlLbl val="0"/>
      </c:catAx>
      <c:valAx>
        <c:axId val="2124714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3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region!PivotTable1</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w="19050">
            <a:solidFill>
              <a:schemeClr val="lt1"/>
            </a:solidFill>
          </a:ln>
          <a:effectLst/>
        </c:spPr>
      </c:pivotFmt>
      <c:pivotFmt>
        <c:idx val="2"/>
        <c:spPr>
          <a:solidFill>
            <a:schemeClr val="accent2"/>
          </a:solidFill>
          <a:ln w="19050">
            <a:solidFill>
              <a:schemeClr val="lt1"/>
            </a:solidFill>
          </a:ln>
          <a:effectLst/>
        </c:spPr>
        <c:dLbl>
          <c:idx val="0"/>
          <c:layout>
            <c:manualLayout>
              <c:x val="-6.9812992125984255E-2"/>
              <c:y val="0.136150481189851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w="19050">
            <a:solidFill>
              <a:schemeClr val="lt1"/>
            </a:solidFill>
          </a:ln>
          <a:effectLst/>
        </c:spPr>
      </c:pivotFmt>
      <c:pivotFmt>
        <c:idx val="4"/>
        <c:spPr>
          <a:solidFill>
            <a:schemeClr val="accent5">
              <a:lumMod val="60000"/>
              <a:lumOff val="40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dLbl>
          <c:idx val="0"/>
          <c:layout>
            <c:manualLayout>
              <c:x val="-6.9812992125984255E-2"/>
              <c:y val="0.136150481189851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w="19050">
            <a:solidFill>
              <a:schemeClr val="lt1"/>
            </a:solidFill>
          </a:ln>
          <a:effectLst/>
        </c:spPr>
      </c:pivotFmt>
      <c:pivotFmt>
        <c:idx val="8"/>
        <c:spPr>
          <a:solidFill>
            <a:srgbClr val="FFFF00"/>
          </a:solidFill>
          <a:ln w="19050">
            <a:solidFill>
              <a:schemeClr val="lt1"/>
            </a:solidFill>
          </a:ln>
          <a:effectLst/>
        </c:spPr>
      </c:pivotFmt>
      <c:pivotFmt>
        <c:idx val="9"/>
        <c:spPr>
          <a:solidFill>
            <a:schemeClr val="accent5">
              <a:lumMod val="60000"/>
              <a:lumOff val="40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w="19050">
            <a:solidFill>
              <a:schemeClr val="lt1"/>
            </a:solidFill>
          </a:ln>
          <a:effectLst/>
        </c:spPr>
        <c:dLbl>
          <c:idx val="0"/>
          <c:layout>
            <c:manualLayout>
              <c:x val="-6.9812992125984255E-2"/>
              <c:y val="0.136150481189851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lumMod val="60000"/>
              <a:lumOff val="40000"/>
            </a:schemeClr>
          </a:solidFill>
          <a:ln w="19050">
            <a:solidFill>
              <a:schemeClr val="lt1"/>
            </a:solidFill>
          </a:ln>
          <a:effectLst/>
        </c:spPr>
      </c:pivotFmt>
      <c:pivotFmt>
        <c:idx val="13"/>
        <c:spPr>
          <a:solidFill>
            <a:srgbClr val="FFFF00"/>
          </a:solidFill>
          <a:ln w="19050">
            <a:solidFill>
              <a:schemeClr val="lt1"/>
            </a:solidFill>
          </a:ln>
          <a:effectLst/>
        </c:spPr>
      </c:pivotFmt>
      <c:pivotFmt>
        <c:idx val="14"/>
        <c:spPr>
          <a:solidFill>
            <a:schemeClr val="accent5">
              <a:lumMod val="60000"/>
              <a:lumOff val="40000"/>
            </a:schemeClr>
          </a:solidFill>
          <a:ln w="19050">
            <a:solidFill>
              <a:schemeClr val="lt1"/>
            </a:solidFill>
          </a:ln>
          <a:effectLst/>
        </c:spPr>
      </c:pivotFmt>
    </c:pivotFmts>
    <c:plotArea>
      <c:layout>
        <c:manualLayout>
          <c:layoutTarget val="inner"/>
          <c:xMode val="edge"/>
          <c:yMode val="edge"/>
          <c:x val="0.34113385826771653"/>
          <c:y val="0.30576844561096528"/>
          <c:w val="0.30432524059492566"/>
          <c:h val="0.50720873432487601"/>
        </c:manualLayout>
      </c:layout>
      <c:pieChart>
        <c:varyColors val="1"/>
        <c:ser>
          <c:idx val="0"/>
          <c:order val="0"/>
          <c:tx>
            <c:strRef>
              <c:f>'Total sales by region'!$B$3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50D-4024-A948-99B88B27C0C8}"/>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D50D-4024-A948-99B88B27C0C8}"/>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D50D-4024-A948-99B88B27C0C8}"/>
              </c:ext>
            </c:extLst>
          </c:dPt>
          <c:dPt>
            <c:idx val="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7-D50D-4024-A948-99B88B27C0C8}"/>
              </c:ext>
            </c:extLst>
          </c:dPt>
          <c:dLbls>
            <c:dLbl>
              <c:idx val="0"/>
              <c:layout>
                <c:manualLayout>
                  <c:x val="-6.9812992125984255E-2"/>
                  <c:y val="0.1361504811898512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50D-4024-A948-99B88B27C0C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by region'!$A$4:$A$8</c:f>
              <c:strCache>
                <c:ptCount val="4"/>
                <c:pt idx="0">
                  <c:v>East</c:v>
                </c:pt>
                <c:pt idx="1">
                  <c:v>North</c:v>
                </c:pt>
                <c:pt idx="2">
                  <c:v>South</c:v>
                </c:pt>
                <c:pt idx="3">
                  <c:v>West</c:v>
                </c:pt>
              </c:strCache>
            </c:strRef>
          </c:cat>
          <c:val>
            <c:numRef>
              <c:f>'Total sales by region'!$B$4:$B$8</c:f>
              <c:numCache>
                <c:formatCode>0</c:formatCode>
                <c:ptCount val="4"/>
                <c:pt idx="0">
                  <c:v>286163</c:v>
                </c:pt>
                <c:pt idx="1">
                  <c:v>373567</c:v>
                </c:pt>
                <c:pt idx="2">
                  <c:v>351149</c:v>
                </c:pt>
                <c:pt idx="3">
                  <c:v>271249</c:v>
                </c:pt>
              </c:numCache>
            </c:numRef>
          </c:val>
          <c:extLst>
            <c:ext xmlns:c16="http://schemas.microsoft.com/office/drawing/2014/chart" uri="{C3380CC4-5D6E-409C-BE32-E72D297353CC}">
              <c16:uniqueId val="{00000008-D50D-4024-A948-99B88B27C0C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214829396325459"/>
          <c:y val="0.53564486730825311"/>
          <c:w val="0.10229615048118985"/>
          <c:h val="0.306715150189559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month!PivotTable2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7415917272636E-2"/>
          <c:y val="0.24617560086648557"/>
          <c:w val="0.82674712792048533"/>
          <c:h val="0.56467667251200582"/>
        </c:manualLayout>
      </c:layout>
      <c:barChart>
        <c:barDir val="col"/>
        <c:grouping val="clustered"/>
        <c:varyColors val="0"/>
        <c:ser>
          <c:idx val="0"/>
          <c:order val="0"/>
          <c:tx>
            <c:strRef>
              <c:f>'total sales by month'!$B$3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sales by month'!$B$4:$B$16</c:f>
              <c:numCache>
                <c:formatCode>0</c:formatCode>
                <c:ptCount val="12"/>
                <c:pt idx="0">
                  <c:v>93983</c:v>
                </c:pt>
                <c:pt idx="1">
                  <c:v>98519</c:v>
                </c:pt>
                <c:pt idx="2">
                  <c:v>78466</c:v>
                </c:pt>
                <c:pt idx="3">
                  <c:v>106891</c:v>
                </c:pt>
                <c:pt idx="4">
                  <c:v>78794</c:v>
                </c:pt>
                <c:pt idx="5">
                  <c:v>91651</c:v>
                </c:pt>
                <c:pt idx="6">
                  <c:v>142780</c:v>
                </c:pt>
                <c:pt idx="7">
                  <c:v>106490</c:v>
                </c:pt>
                <c:pt idx="8">
                  <c:v>106389</c:v>
                </c:pt>
                <c:pt idx="9">
                  <c:v>86838</c:v>
                </c:pt>
                <c:pt idx="10">
                  <c:v>228482</c:v>
                </c:pt>
                <c:pt idx="11">
                  <c:v>62845</c:v>
                </c:pt>
              </c:numCache>
            </c:numRef>
          </c:val>
          <c:extLst>
            <c:ext xmlns:c16="http://schemas.microsoft.com/office/drawing/2014/chart" uri="{C3380CC4-5D6E-409C-BE32-E72D297353CC}">
              <c16:uniqueId val="{00000000-CE0D-4524-9421-400185270906}"/>
            </c:ext>
          </c:extLst>
        </c:ser>
        <c:dLbls>
          <c:dLblPos val="outEnd"/>
          <c:showLegendKey val="0"/>
          <c:showVal val="1"/>
          <c:showCatName val="0"/>
          <c:showSerName val="0"/>
          <c:showPercent val="0"/>
          <c:showBubbleSize val="0"/>
        </c:dLbls>
        <c:gapWidth val="116"/>
        <c:overlap val="-27"/>
        <c:axId val="1016777616"/>
        <c:axId val="1016776176"/>
      </c:barChart>
      <c:catAx>
        <c:axId val="101677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76176"/>
        <c:crosses val="autoZero"/>
        <c:auto val="1"/>
        <c:lblAlgn val="ctr"/>
        <c:lblOffset val="100"/>
        <c:noMultiLvlLbl val="0"/>
      </c:catAx>
      <c:valAx>
        <c:axId val="1016776176"/>
        <c:scaling>
          <c:orientation val="minMax"/>
        </c:scaling>
        <c:delete val="0"/>
        <c:axPos val="l"/>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77616"/>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product!PivotTable3</c:name>
    <c:fmtId val="5"/>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total sales by product</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766885280237725"/>
          <c:y val="0.20711078194433616"/>
          <c:w val="0.66238373881569046"/>
          <c:h val="0.65643720277539563"/>
        </c:manualLayout>
      </c:layout>
      <c:bar3DChart>
        <c:barDir val="bar"/>
        <c:grouping val="clustered"/>
        <c:varyColors val="0"/>
        <c:ser>
          <c:idx val="0"/>
          <c:order val="0"/>
          <c:tx>
            <c:strRef>
              <c:f>'total sales by product'!$B$3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 sales by product'!$A$4:$A$9</c:f>
              <c:strCache>
                <c:ptCount val="5"/>
                <c:pt idx="0">
                  <c:v>Laptop</c:v>
                </c:pt>
                <c:pt idx="1">
                  <c:v>Monitor</c:v>
                </c:pt>
                <c:pt idx="2">
                  <c:v>Printer</c:v>
                </c:pt>
                <c:pt idx="3">
                  <c:v>Smartphone</c:v>
                </c:pt>
                <c:pt idx="4">
                  <c:v>Tablet</c:v>
                </c:pt>
              </c:strCache>
            </c:strRef>
          </c:cat>
          <c:val>
            <c:numRef>
              <c:f>'total sales by product'!$B$4:$B$9</c:f>
              <c:numCache>
                <c:formatCode>0</c:formatCode>
                <c:ptCount val="5"/>
                <c:pt idx="0">
                  <c:v>300816</c:v>
                </c:pt>
                <c:pt idx="1">
                  <c:v>248247</c:v>
                </c:pt>
                <c:pt idx="2">
                  <c:v>202003</c:v>
                </c:pt>
                <c:pt idx="3">
                  <c:v>207105</c:v>
                </c:pt>
                <c:pt idx="4">
                  <c:v>323957</c:v>
                </c:pt>
              </c:numCache>
            </c:numRef>
          </c:val>
          <c:extLst>
            <c:ext xmlns:c16="http://schemas.microsoft.com/office/drawing/2014/chart" uri="{C3380CC4-5D6E-409C-BE32-E72D297353CC}">
              <c16:uniqueId val="{00000000-615C-4704-A5A9-BC6D2C867B9F}"/>
            </c:ext>
          </c:extLst>
        </c:ser>
        <c:dLbls>
          <c:showLegendKey val="0"/>
          <c:showVal val="1"/>
          <c:showCatName val="0"/>
          <c:showSerName val="0"/>
          <c:showPercent val="0"/>
          <c:showBubbleSize val="0"/>
        </c:dLbls>
        <c:gapWidth val="84"/>
        <c:gapDepth val="53"/>
        <c:shape val="box"/>
        <c:axId val="2122035104"/>
        <c:axId val="2122036064"/>
        <c:axId val="0"/>
      </c:bar3DChart>
      <c:catAx>
        <c:axId val="2122035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2036064"/>
        <c:crosses val="autoZero"/>
        <c:auto val="1"/>
        <c:lblAlgn val="ctr"/>
        <c:lblOffset val="100"/>
        <c:noMultiLvlLbl val="0"/>
      </c:catAx>
      <c:valAx>
        <c:axId val="2122036064"/>
        <c:scaling>
          <c:orientation val="minMax"/>
        </c:scaling>
        <c:delete val="1"/>
        <c:axPos val="b"/>
        <c:numFmt formatCode="0" sourceLinked="1"/>
        <c:majorTickMark val="out"/>
        <c:minorTickMark val="none"/>
        <c:tickLblPos val="nextTo"/>
        <c:crossAx val="2122035104"/>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 .xlsm]Total sales by sales rep!PivotTable4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26069923752113"/>
          <c:y val="0.23829685484229726"/>
          <c:w val="0.73029804607757365"/>
          <c:h val="0.60659053256640794"/>
        </c:manualLayout>
      </c:layout>
      <c:lineChart>
        <c:grouping val="stacked"/>
        <c:varyColors val="0"/>
        <c:ser>
          <c:idx val="0"/>
          <c:order val="0"/>
          <c:tx>
            <c:strRef>
              <c:f>'Total sales by sales rep'!$B$3</c:f>
              <c:strCache>
                <c:ptCount val="1"/>
                <c:pt idx="0">
                  <c:v>Total</c:v>
                </c:pt>
              </c:strCache>
            </c:strRef>
          </c:tx>
          <c:spPr>
            <a:ln w="28575" cap="rnd">
              <a:solidFill>
                <a:schemeClr val="accent4">
                  <a:lumMod val="50000"/>
                </a:schemeClr>
              </a:solidFill>
              <a:round/>
            </a:ln>
            <a:effectLst/>
          </c:spPr>
          <c:marker>
            <c:symbol val="circle"/>
            <c:size val="5"/>
            <c:spPr>
              <a:solidFill>
                <a:schemeClr val="bg2"/>
              </a:solidFill>
              <a:ln w="9525">
                <a:solidFill>
                  <a:schemeClr val="accent4">
                    <a:lumMod val="50000"/>
                  </a:schemeClr>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sales rep'!$A$4:$A$9</c:f>
              <c:strCache>
                <c:ptCount val="5"/>
                <c:pt idx="0">
                  <c:v>Alice</c:v>
                </c:pt>
                <c:pt idx="1">
                  <c:v>Bob</c:v>
                </c:pt>
                <c:pt idx="2">
                  <c:v>Charlie</c:v>
                </c:pt>
                <c:pt idx="3">
                  <c:v>David</c:v>
                </c:pt>
                <c:pt idx="4">
                  <c:v>Eva</c:v>
                </c:pt>
              </c:strCache>
            </c:strRef>
          </c:cat>
          <c:val>
            <c:numRef>
              <c:f>'Total sales by sales rep'!$B$4:$B$9</c:f>
              <c:numCache>
                <c:formatCode>0</c:formatCode>
                <c:ptCount val="5"/>
                <c:pt idx="0">
                  <c:v>248359</c:v>
                </c:pt>
                <c:pt idx="1">
                  <c:v>230932</c:v>
                </c:pt>
                <c:pt idx="2">
                  <c:v>297944</c:v>
                </c:pt>
                <c:pt idx="3">
                  <c:v>244689</c:v>
                </c:pt>
                <c:pt idx="4">
                  <c:v>260204</c:v>
                </c:pt>
              </c:numCache>
            </c:numRef>
          </c:val>
          <c:smooth val="0"/>
          <c:extLst>
            <c:ext xmlns:c16="http://schemas.microsoft.com/office/drawing/2014/chart" uri="{C3380CC4-5D6E-409C-BE32-E72D297353CC}">
              <c16:uniqueId val="{00000000-3048-4F46-BAC3-532EEC0B9FEB}"/>
            </c:ext>
          </c:extLst>
        </c:ser>
        <c:dLbls>
          <c:dLblPos val="t"/>
          <c:showLegendKey val="0"/>
          <c:showVal val="1"/>
          <c:showCatName val="0"/>
          <c:showSerName val="0"/>
          <c:showPercent val="0"/>
          <c:showBubbleSize val="0"/>
        </c:dLbls>
        <c:marker val="1"/>
        <c:smooth val="0"/>
        <c:axId val="184938144"/>
        <c:axId val="2124714448"/>
      </c:lineChart>
      <c:catAx>
        <c:axId val="18493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714448"/>
        <c:crosses val="autoZero"/>
        <c:auto val="1"/>
        <c:lblAlgn val="ctr"/>
        <c:lblOffset val="100"/>
        <c:noMultiLvlLbl val="0"/>
      </c:catAx>
      <c:valAx>
        <c:axId val="2124714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3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601980</xdr:colOff>
      <xdr:row>3</xdr:row>
      <xdr:rowOff>0</xdr:rowOff>
    </xdr:from>
    <xdr:to>
      <xdr:col>13</xdr:col>
      <xdr:colOff>7620</xdr:colOff>
      <xdr:row>18</xdr:row>
      <xdr:rowOff>0</xdr:rowOff>
    </xdr:to>
    <xdr:graphicFrame macro="">
      <xdr:nvGraphicFramePr>
        <xdr:cNvPr id="2" name="Chart 1">
          <a:extLst>
            <a:ext uri="{FF2B5EF4-FFF2-40B4-BE49-F238E27FC236}">
              <a16:creationId xmlns:a16="http://schemas.microsoft.com/office/drawing/2014/main" id="{BA3E97DF-D433-447E-D20A-A641D74AE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342900</xdr:colOff>
      <xdr:row>5</xdr:row>
      <xdr:rowOff>175260</xdr:rowOff>
    </xdr:from>
    <xdr:to>
      <xdr:col>15</xdr:col>
      <xdr:colOff>0</xdr:colOff>
      <xdr:row>25</xdr:row>
      <xdr:rowOff>7620</xdr:rowOff>
    </xdr:to>
    <xdr:graphicFrame macro="">
      <xdr:nvGraphicFramePr>
        <xdr:cNvPr id="2" name="Chart 1">
          <a:extLst>
            <a:ext uri="{FF2B5EF4-FFF2-40B4-BE49-F238E27FC236}">
              <a16:creationId xmlns:a16="http://schemas.microsoft.com/office/drawing/2014/main" id="{B73BB4B2-0078-8423-8D24-426A0A29B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7620</xdr:colOff>
      <xdr:row>2</xdr:row>
      <xdr:rowOff>0</xdr:rowOff>
    </xdr:from>
    <xdr:to>
      <xdr:col>14</xdr:col>
      <xdr:colOff>22860</xdr:colOff>
      <xdr:row>23</xdr:row>
      <xdr:rowOff>7620</xdr:rowOff>
    </xdr:to>
    <xdr:graphicFrame macro="">
      <xdr:nvGraphicFramePr>
        <xdr:cNvPr id="3" name="Chart 2">
          <a:extLst>
            <a:ext uri="{FF2B5EF4-FFF2-40B4-BE49-F238E27FC236}">
              <a16:creationId xmlns:a16="http://schemas.microsoft.com/office/drawing/2014/main" id="{7B3B8E1C-4776-B6A0-130D-44A4CA85A4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342900</xdr:colOff>
      <xdr:row>6</xdr:row>
      <xdr:rowOff>45720</xdr:rowOff>
    </xdr:from>
    <xdr:to>
      <xdr:col>12</xdr:col>
      <xdr:colOff>0</xdr:colOff>
      <xdr:row>23</xdr:row>
      <xdr:rowOff>160020</xdr:rowOff>
    </xdr:to>
    <xdr:graphicFrame macro="">
      <xdr:nvGraphicFramePr>
        <xdr:cNvPr id="2" name="Chart 1">
          <a:extLst>
            <a:ext uri="{FF2B5EF4-FFF2-40B4-BE49-F238E27FC236}">
              <a16:creationId xmlns:a16="http://schemas.microsoft.com/office/drawing/2014/main" id="{3A6522D8-46A1-BE5E-F98E-2F3BF24961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xdr:row>
      <xdr:rowOff>15240</xdr:rowOff>
    </xdr:from>
    <xdr:to>
      <xdr:col>7</xdr:col>
      <xdr:colOff>373380</xdr:colOff>
      <xdr:row>21</xdr:row>
      <xdr:rowOff>160020</xdr:rowOff>
    </xdr:to>
    <xdr:graphicFrame macro="">
      <xdr:nvGraphicFramePr>
        <xdr:cNvPr id="2" name="Chart 1">
          <a:extLst>
            <a:ext uri="{FF2B5EF4-FFF2-40B4-BE49-F238E27FC236}">
              <a16:creationId xmlns:a16="http://schemas.microsoft.com/office/drawing/2014/main" id="{CB1A2DCF-E3A2-4C87-AC4A-0BD87E4DF9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342900</xdr:colOff>
      <xdr:row>21</xdr:row>
      <xdr:rowOff>152400</xdr:rowOff>
    </xdr:from>
    <xdr:to>
      <xdr:col>16</xdr:col>
      <xdr:colOff>167640</xdr:colOff>
      <xdr:row>36</xdr:row>
      <xdr:rowOff>137160</xdr:rowOff>
    </xdr:to>
    <xdr:graphicFrame macro="">
      <xdr:nvGraphicFramePr>
        <xdr:cNvPr id="3" name="Chart 2">
          <a:extLst>
            <a:ext uri="{FF2B5EF4-FFF2-40B4-BE49-F238E27FC236}">
              <a16:creationId xmlns:a16="http://schemas.microsoft.com/office/drawing/2014/main" id="{E864AB2B-DF76-4E14-8412-077C65E6B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167640</xdr:rowOff>
    </xdr:from>
    <xdr:to>
      <xdr:col>7</xdr:col>
      <xdr:colOff>381000</xdr:colOff>
      <xdr:row>36</xdr:row>
      <xdr:rowOff>144780</xdr:rowOff>
    </xdr:to>
    <xdr:graphicFrame macro="">
      <xdr:nvGraphicFramePr>
        <xdr:cNvPr id="4" name="Chart 3">
          <a:extLst>
            <a:ext uri="{FF2B5EF4-FFF2-40B4-BE49-F238E27FC236}">
              <a16:creationId xmlns:a16="http://schemas.microsoft.com/office/drawing/2014/main" id="{9BCCFC7F-E022-46D5-A016-EEB899A66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373380</xdr:colOff>
      <xdr:row>5</xdr:row>
      <xdr:rowOff>22860</xdr:rowOff>
    </xdr:from>
    <xdr:to>
      <xdr:col>16</xdr:col>
      <xdr:colOff>144780</xdr:colOff>
      <xdr:row>21</xdr:row>
      <xdr:rowOff>160020</xdr:rowOff>
    </xdr:to>
    <xdr:graphicFrame macro="">
      <xdr:nvGraphicFramePr>
        <xdr:cNvPr id="5" name="Chart 4">
          <a:extLst>
            <a:ext uri="{FF2B5EF4-FFF2-40B4-BE49-F238E27FC236}">
              <a16:creationId xmlns:a16="http://schemas.microsoft.com/office/drawing/2014/main" id="{91C16A1C-33CC-4C39-8869-2E9B4EE2D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38100</xdr:rowOff>
    </xdr:from>
    <xdr:to>
      <xdr:col>23</xdr:col>
      <xdr:colOff>502920</xdr:colOff>
      <xdr:row>5</xdr:row>
      <xdr:rowOff>45720</xdr:rowOff>
    </xdr:to>
    <xdr:sp macro="" textlink="">
      <xdr:nvSpPr>
        <xdr:cNvPr id="6" name="TextBox 5">
          <a:extLst>
            <a:ext uri="{FF2B5EF4-FFF2-40B4-BE49-F238E27FC236}">
              <a16:creationId xmlns:a16="http://schemas.microsoft.com/office/drawing/2014/main" id="{1603FE6A-CC39-3D59-4DC2-746BFB104432}"/>
            </a:ext>
          </a:extLst>
        </xdr:cNvPr>
        <xdr:cNvSpPr txBox="1"/>
      </xdr:nvSpPr>
      <xdr:spPr>
        <a:xfrm>
          <a:off x="0" y="38100"/>
          <a:ext cx="14523720" cy="9220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800">
              <a:solidFill>
                <a:schemeClr val="accent6">
                  <a:lumMod val="50000"/>
                </a:schemeClr>
              </a:solidFill>
              <a:latin typeface="Times New Roman" panose="02020603050405020304" pitchFamily="18" charset="0"/>
              <a:cs typeface="Times New Roman" panose="02020603050405020304" pitchFamily="18" charset="0"/>
            </a:rPr>
            <a:t>Sales</a:t>
          </a:r>
          <a:r>
            <a:rPr lang="en-IN" sz="4800" baseline="0">
              <a:solidFill>
                <a:schemeClr val="accent6">
                  <a:lumMod val="50000"/>
                </a:schemeClr>
              </a:solidFill>
              <a:latin typeface="Times New Roman" panose="02020603050405020304" pitchFamily="18" charset="0"/>
              <a:cs typeface="Times New Roman" panose="02020603050405020304" pitchFamily="18" charset="0"/>
            </a:rPr>
            <a:t> Performance Dashboard</a:t>
          </a:r>
          <a:endParaRPr lang="en-IN" sz="4800">
            <a:solidFill>
              <a:schemeClr val="accent6">
                <a:lumMod val="50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16</xdr:col>
      <xdr:colOff>144780</xdr:colOff>
      <xdr:row>5</xdr:row>
      <xdr:rowOff>45721</xdr:rowOff>
    </xdr:from>
    <xdr:to>
      <xdr:col>18</xdr:col>
      <xdr:colOff>22860</xdr:colOff>
      <xdr:row>18</xdr:row>
      <xdr:rowOff>114301</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EE1AC0A6-29FE-4A65-BDF7-91B1A19C71D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898380" y="960121"/>
              <a:ext cx="1097280" cy="2446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167640</xdr:colOff>
      <xdr:row>18</xdr:row>
      <xdr:rowOff>137160</xdr:rowOff>
    </xdr:from>
    <xdr:to>
      <xdr:col>21</xdr:col>
      <xdr:colOff>457200</xdr:colOff>
      <xdr:row>26</xdr:row>
      <xdr:rowOff>45720</xdr:rowOff>
    </xdr:to>
    <mc:AlternateContent xmlns:mc="http://schemas.openxmlformats.org/markup-compatibility/2006">
      <mc:Choice xmlns:tsle="http://schemas.microsoft.com/office/drawing/2012/timeslicer" Requires="tsle">
        <xdr:graphicFrame macro="">
          <xdr:nvGraphicFramePr>
            <xdr:cNvPr id="8" name="Date">
              <a:extLst>
                <a:ext uri="{FF2B5EF4-FFF2-40B4-BE49-F238E27FC236}">
                  <a16:creationId xmlns:a16="http://schemas.microsoft.com/office/drawing/2014/main" id="{B490C41A-2D3A-C30D-E36E-C13BF238B252}"/>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9921240" y="342900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19</xdr:col>
      <xdr:colOff>601980</xdr:colOff>
      <xdr:row>5</xdr:row>
      <xdr:rowOff>38100</xdr:rowOff>
    </xdr:from>
    <xdr:to>
      <xdr:col>21</xdr:col>
      <xdr:colOff>464820</xdr:colOff>
      <xdr:row>18</xdr:row>
      <xdr:rowOff>152400</xdr:rowOff>
    </xdr:to>
    <mc:AlternateContent xmlns:mc="http://schemas.openxmlformats.org/markup-compatibility/2006">
      <mc:Choice xmlns:a14="http://schemas.microsoft.com/office/drawing/2010/main" Requires="a14">
        <xdr:graphicFrame macro="">
          <xdr:nvGraphicFramePr>
            <xdr:cNvPr id="9" name="Product">
              <a:extLst>
                <a:ext uri="{FF2B5EF4-FFF2-40B4-BE49-F238E27FC236}">
                  <a16:creationId xmlns:a16="http://schemas.microsoft.com/office/drawing/2014/main" id="{FE2173F1-67B3-2C06-1243-CA43356B416C}"/>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2184380" y="952500"/>
              <a:ext cx="1082040" cy="2491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5</xdr:row>
      <xdr:rowOff>30480</xdr:rowOff>
    </xdr:from>
    <xdr:to>
      <xdr:col>20</xdr:col>
      <xdr:colOff>22860</xdr:colOff>
      <xdr:row>18</xdr:row>
      <xdr:rowOff>144780</xdr:rowOff>
    </xdr:to>
    <mc:AlternateContent xmlns:mc="http://schemas.openxmlformats.org/markup-compatibility/2006">
      <mc:Choice xmlns:a14="http://schemas.microsoft.com/office/drawing/2010/main" Requires="a14">
        <xdr:graphicFrame macro="">
          <xdr:nvGraphicFramePr>
            <xdr:cNvPr id="10" name="Months (Date)">
              <a:extLst>
                <a:ext uri="{FF2B5EF4-FFF2-40B4-BE49-F238E27FC236}">
                  <a16:creationId xmlns:a16="http://schemas.microsoft.com/office/drawing/2014/main" id="{DC03D2B8-5580-F00E-0333-38C28984E116}"/>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0972800" y="944880"/>
              <a:ext cx="1242060" cy="2491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594360</xdr:colOff>
          <xdr:row>4</xdr:row>
          <xdr:rowOff>152400</xdr:rowOff>
        </xdr:from>
        <xdr:to>
          <xdr:col>10</xdr:col>
          <xdr:colOff>601980</xdr:colOff>
          <xdr:row>9</xdr:row>
          <xdr:rowOff>22860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6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Userform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ma MS" refreshedDate="45758.531679745371" createdVersion="8" refreshedVersion="8" minRefreshableVersion="3" recordCount="200" xr:uid="{AF4184B8-74A7-481F-8D26-2002089546C9}">
  <cacheSource type="worksheet">
    <worksheetSource name="Table1"/>
  </cacheSource>
  <cacheFields count="9">
    <cacheField name="Date" numFmtId="14">
      <sharedItems containsSemiMixedTypes="0" containsNonDate="0" containsDate="1" containsString="0" minDate="2024-01-04T00:00:00" maxDate="2024-12-31T00:00:00" count="146">
        <d v="2024-11-28T00:00:00"/>
        <d v="2024-11-16T00:00:00"/>
        <d v="2024-03-20T00:00:00"/>
        <d v="2024-11-05T00:00:00"/>
        <d v="2024-11-24T00:00:00"/>
        <d v="2024-09-03T00:00:00"/>
        <d v="2024-11-27T00:00:00"/>
        <d v="2024-03-19T00:00:00"/>
        <d v="2024-02-07T00:00:00"/>
        <d v="2024-10-04T00:00:00"/>
        <d v="2024-07-13T00:00:00"/>
        <d v="2024-03-17T00:00:00"/>
        <d v="2024-01-06T00:00:00"/>
        <d v="2024-06-29T00:00:00"/>
        <d v="2024-12-21T00:00:00"/>
        <d v="2024-10-21T00:00:00"/>
        <d v="2024-05-02T00:00:00"/>
        <d v="2024-09-24T00:00:00"/>
        <d v="2024-11-21T00:00:00"/>
        <d v="2024-11-09T00:00:00"/>
        <d v="2024-04-14T00:00:00"/>
        <d v="2024-07-02T00:00:00"/>
        <d v="2024-01-07T00:00:00"/>
        <d v="2024-04-25T00:00:00"/>
        <d v="2024-08-17T00:00:00"/>
        <d v="2024-08-23T00:00:00"/>
        <d v="2024-08-24T00:00:00"/>
        <d v="2024-10-01T00:00:00"/>
        <d v="2024-01-09T00:00:00"/>
        <d v="2024-11-03T00:00:00"/>
        <d v="2024-02-08T00:00:00"/>
        <d v="2024-06-13T00:00:00"/>
        <d v="2024-05-30T00:00:00"/>
        <d v="2024-07-07T00:00:00"/>
        <d v="2024-10-06T00:00:00"/>
        <d v="2024-02-14T00:00:00"/>
        <d v="2024-06-11T00:00:00"/>
        <d v="2024-03-26T00:00:00"/>
        <d v="2024-04-26T00:00:00"/>
        <d v="2024-06-26T00:00:00"/>
        <d v="2024-04-08T00:00:00"/>
        <d v="2024-04-07T00:00:00"/>
        <d v="2024-03-22T00:00:00"/>
        <d v="2024-12-01T00:00:00"/>
        <d v="2024-01-15T00:00:00"/>
        <d v="2024-07-05T00:00:00"/>
        <d v="2024-08-12T00:00:00"/>
        <d v="2024-05-24T00:00:00"/>
        <d v="2024-11-11T00:00:00"/>
        <d v="2024-07-22T00:00:00"/>
        <d v="2024-07-20T00:00:00"/>
        <d v="2024-07-24T00:00:00"/>
        <d v="2024-06-22T00:00:00"/>
        <d v="2024-01-04T00:00:00"/>
        <d v="2024-01-21T00:00:00"/>
        <d v="2024-07-01T00:00:00"/>
        <d v="2024-08-06T00:00:00"/>
        <d v="2024-11-25T00:00:00"/>
        <d v="2024-06-27T00:00:00"/>
        <d v="2024-02-13T00:00:00"/>
        <d v="2024-02-05T00:00:00"/>
        <d v="2024-10-27T00:00:00"/>
        <d v="2024-10-26T00:00:00"/>
        <d v="2024-03-24T00:00:00"/>
        <d v="2024-05-01T00:00:00"/>
        <d v="2024-02-09T00:00:00"/>
        <d v="2024-06-16T00:00:00"/>
        <d v="2024-03-29T00:00:00"/>
        <d v="2024-07-03T00:00:00"/>
        <d v="2024-04-23T00:00:00"/>
        <d v="2024-11-26T00:00:00"/>
        <d v="2024-02-27T00:00:00"/>
        <d v="2024-10-12T00:00:00"/>
        <d v="2024-07-10T00:00:00"/>
        <d v="2024-12-27T00:00:00"/>
        <d v="2024-01-23T00:00:00"/>
        <d v="2024-01-14T00:00:00"/>
        <d v="2024-02-24T00:00:00"/>
        <d v="2024-02-06T00:00:00"/>
        <d v="2024-08-16T00:00:00"/>
        <d v="2024-12-08T00:00:00"/>
        <d v="2024-03-12T00:00:00"/>
        <d v="2024-01-28T00:00:00"/>
        <d v="2024-12-25T00:00:00"/>
        <d v="2024-03-30T00:00:00"/>
        <d v="2024-01-05T00:00:00"/>
        <d v="2024-04-16T00:00:00"/>
        <d v="2024-11-20T00:00:00"/>
        <d v="2024-06-04T00:00:00"/>
        <d v="2024-11-13T00:00:00"/>
        <d v="2024-03-08T00:00:00"/>
        <d v="2024-09-22T00:00:00"/>
        <d v="2024-09-08T00:00:00"/>
        <d v="2024-08-21T00:00:00"/>
        <d v="2024-11-14T00:00:00"/>
        <d v="2024-08-02T00:00:00"/>
        <d v="2024-03-07T00:00:00"/>
        <d v="2024-02-11T00:00:00"/>
        <d v="2024-03-14T00:00:00"/>
        <d v="2024-07-08T00:00:00"/>
        <d v="2024-05-14T00:00:00"/>
        <d v="2024-10-19T00:00:00"/>
        <d v="2024-01-17T00:00:00"/>
        <d v="2024-11-06T00:00:00"/>
        <d v="2024-01-18T00:00:00"/>
        <d v="2024-04-22T00:00:00"/>
        <d v="2024-09-29T00:00:00"/>
        <d v="2024-09-23T00:00:00"/>
        <d v="2024-07-21T00:00:00"/>
        <d v="2024-04-09T00:00:00"/>
        <d v="2024-12-24T00:00:00"/>
        <d v="2024-09-07T00:00:00"/>
        <d v="2024-01-26T00:00:00"/>
        <d v="2024-09-09T00:00:00"/>
        <d v="2024-10-29T00:00:00"/>
        <d v="2024-09-04T00:00:00"/>
        <d v="2024-11-04T00:00:00"/>
        <d v="2024-05-15T00:00:00"/>
        <d v="2024-04-15T00:00:00"/>
        <d v="2024-12-16T00:00:00"/>
        <d v="2024-06-25T00:00:00"/>
        <d v="2024-08-15T00:00:00"/>
        <d v="2024-07-29T00:00:00"/>
        <d v="2024-11-19T00:00:00"/>
        <d v="2024-02-01T00:00:00"/>
        <d v="2024-07-31T00:00:00"/>
        <d v="2024-09-25T00:00:00"/>
        <d v="2024-09-12T00:00:00"/>
        <d v="2024-04-20T00:00:00"/>
        <d v="2024-01-25T00:00:00"/>
        <d v="2024-07-18T00:00:00"/>
        <d v="2024-03-02T00:00:00"/>
        <d v="2024-12-12T00:00:00"/>
        <d v="2024-12-10T00:00:00"/>
        <d v="2024-06-05T00:00:00"/>
        <d v="2024-10-09T00:00:00"/>
        <d v="2024-07-23T00:00:00"/>
        <d v="2024-10-02T00:00:00"/>
        <d v="2024-05-08T00:00:00"/>
        <d v="2024-05-27T00:00:00"/>
        <d v="2024-08-01T00:00:00"/>
        <d v="2024-07-11T00:00:00"/>
        <d v="2024-12-30T00:00:00"/>
        <d v="2024-11-29T00:00:00"/>
        <d v="2024-12-11T00:00:00"/>
        <d v="2024-08-22T00:00:00"/>
      </sharedItems>
      <fieldGroup par="8"/>
    </cacheField>
    <cacheField name="Region" numFmtId="0">
      <sharedItems count="4">
        <s v="East"/>
        <s v="North"/>
        <s v="South"/>
        <s v="West"/>
      </sharedItems>
    </cacheField>
    <cacheField name="Product" numFmtId="0">
      <sharedItems count="5">
        <s v="Tablet"/>
        <s v="Monitor"/>
        <s v="Smartphone"/>
        <s v="Laptop"/>
        <s v="Printer"/>
      </sharedItems>
    </cacheField>
    <cacheField name="Sales Rep" numFmtId="0">
      <sharedItems count="5">
        <s v="Charlie"/>
        <s v="Alice"/>
        <s v="Bob"/>
        <s v="Eva"/>
        <s v="David"/>
      </sharedItems>
    </cacheField>
    <cacheField name="Units Sold" numFmtId="2">
      <sharedItems containsSemiMixedTypes="0" containsString="0" containsNumber="1" containsInteger="1" minValue="1" maxValue="20"/>
    </cacheField>
    <cacheField name="Unit Price" numFmtId="1">
      <sharedItems containsSemiMixedTypes="0" containsString="0" containsNumber="1" containsInteger="1" minValue="151" maxValue="1000"/>
    </cacheField>
    <cacheField name="Total Sales" numFmtId="1">
      <sharedItems containsSemiMixedTypes="0" containsString="0" containsNumber="1" containsInteger="1" minValue="166" maxValue="17892"/>
    </cacheField>
    <cacheField name="Days (Date)" numFmtId="0" databaseField="0">
      <fieldGroup base="0">
        <rangePr groupBy="days" startDate="2024-01-04T00:00:00" endDate="2024-12-31T00:00:00"/>
        <groupItems count="368">
          <s v="&lt;04-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24"/>
        </groupItems>
      </fieldGroup>
    </cacheField>
    <cacheField name="Months (Date)" numFmtId="0" databaseField="0">
      <fieldGroup base="0">
        <rangePr groupBy="months" startDate="2024-01-04T00:00:00" endDate="2024-12-31T00:00:00"/>
        <groupItems count="14">
          <s v="&lt;04-01-2024"/>
          <s v="Jan"/>
          <s v="Feb"/>
          <s v="Mar"/>
          <s v="Apr"/>
          <s v="May"/>
          <s v="Jun"/>
          <s v="Jul"/>
          <s v="Aug"/>
          <s v="Sep"/>
          <s v="Oct"/>
          <s v="Nov"/>
          <s v="Dec"/>
          <s v="&gt;31-12-2024"/>
        </groupItems>
      </fieldGroup>
    </cacheField>
  </cacheFields>
  <extLst>
    <ext xmlns:x14="http://schemas.microsoft.com/office/spreadsheetml/2009/9/main" uri="{725AE2AE-9491-48be-B2B4-4EB974FC3084}">
      <x14:pivotCacheDefinition pivotCacheId="17365523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x v="0"/>
    <x v="0"/>
    <n v="13"/>
    <n v="932"/>
    <n v="12116"/>
  </r>
  <r>
    <x v="1"/>
    <x v="0"/>
    <x v="1"/>
    <x v="0"/>
    <n v="20"/>
    <n v="167"/>
    <n v="3340"/>
  </r>
  <r>
    <x v="2"/>
    <x v="0"/>
    <x v="2"/>
    <x v="1"/>
    <n v="7"/>
    <n v="332"/>
    <n v="2324"/>
  </r>
  <r>
    <x v="3"/>
    <x v="0"/>
    <x v="3"/>
    <x v="1"/>
    <n v="17"/>
    <n v="300"/>
    <n v="5100"/>
  </r>
  <r>
    <x v="4"/>
    <x v="0"/>
    <x v="2"/>
    <x v="0"/>
    <n v="16"/>
    <n v="686"/>
    <n v="10976"/>
  </r>
  <r>
    <x v="5"/>
    <x v="0"/>
    <x v="0"/>
    <x v="2"/>
    <n v="12"/>
    <n v="739"/>
    <n v="8868"/>
  </r>
  <r>
    <x v="6"/>
    <x v="0"/>
    <x v="3"/>
    <x v="0"/>
    <n v="17"/>
    <n v="667"/>
    <n v="11339"/>
  </r>
  <r>
    <x v="7"/>
    <x v="0"/>
    <x v="2"/>
    <x v="3"/>
    <n v="1"/>
    <n v="935"/>
    <n v="935"/>
  </r>
  <r>
    <x v="8"/>
    <x v="0"/>
    <x v="2"/>
    <x v="0"/>
    <n v="13"/>
    <n v="427"/>
    <n v="5551"/>
  </r>
  <r>
    <x v="9"/>
    <x v="0"/>
    <x v="2"/>
    <x v="2"/>
    <n v="3"/>
    <n v="443"/>
    <n v="1329"/>
  </r>
  <r>
    <x v="10"/>
    <x v="0"/>
    <x v="3"/>
    <x v="3"/>
    <n v="16"/>
    <n v="536"/>
    <n v="8576"/>
  </r>
  <r>
    <x v="11"/>
    <x v="0"/>
    <x v="3"/>
    <x v="4"/>
    <n v="8"/>
    <n v="933"/>
    <n v="7464"/>
  </r>
  <r>
    <x v="12"/>
    <x v="0"/>
    <x v="2"/>
    <x v="4"/>
    <n v="8"/>
    <n v="985"/>
    <n v="7880"/>
  </r>
  <r>
    <x v="13"/>
    <x v="0"/>
    <x v="4"/>
    <x v="3"/>
    <n v="12"/>
    <n v="193"/>
    <n v="2316"/>
  </r>
  <r>
    <x v="14"/>
    <x v="0"/>
    <x v="4"/>
    <x v="2"/>
    <n v="7"/>
    <n v="872"/>
    <n v="6104"/>
  </r>
  <r>
    <x v="15"/>
    <x v="0"/>
    <x v="0"/>
    <x v="3"/>
    <n v="13"/>
    <n v="688"/>
    <n v="8944"/>
  </r>
  <r>
    <x v="16"/>
    <x v="0"/>
    <x v="0"/>
    <x v="2"/>
    <n v="9"/>
    <n v="513"/>
    <n v="4617"/>
  </r>
  <r>
    <x v="17"/>
    <x v="0"/>
    <x v="2"/>
    <x v="1"/>
    <n v="15"/>
    <n v="865"/>
    <n v="12975"/>
  </r>
  <r>
    <x v="18"/>
    <x v="0"/>
    <x v="1"/>
    <x v="1"/>
    <n v="10"/>
    <n v="1000"/>
    <n v="10000"/>
  </r>
  <r>
    <x v="19"/>
    <x v="0"/>
    <x v="4"/>
    <x v="1"/>
    <n v="7"/>
    <n v="399"/>
    <n v="2793"/>
  </r>
  <r>
    <x v="20"/>
    <x v="0"/>
    <x v="2"/>
    <x v="0"/>
    <n v="18"/>
    <n v="501"/>
    <n v="9018"/>
  </r>
  <r>
    <x v="5"/>
    <x v="0"/>
    <x v="0"/>
    <x v="2"/>
    <n v="10"/>
    <n v="722"/>
    <n v="7220"/>
  </r>
  <r>
    <x v="16"/>
    <x v="0"/>
    <x v="0"/>
    <x v="4"/>
    <n v="4"/>
    <n v="821"/>
    <n v="3284"/>
  </r>
  <r>
    <x v="21"/>
    <x v="0"/>
    <x v="0"/>
    <x v="2"/>
    <n v="14"/>
    <n v="690"/>
    <n v="9660"/>
  </r>
  <r>
    <x v="22"/>
    <x v="0"/>
    <x v="4"/>
    <x v="2"/>
    <n v="7"/>
    <n v="196"/>
    <n v="1372"/>
  </r>
  <r>
    <x v="23"/>
    <x v="0"/>
    <x v="3"/>
    <x v="2"/>
    <n v="15"/>
    <n v="161"/>
    <n v="2415"/>
  </r>
  <r>
    <x v="24"/>
    <x v="0"/>
    <x v="0"/>
    <x v="4"/>
    <n v="13"/>
    <n v="899"/>
    <n v="11687"/>
  </r>
  <r>
    <x v="25"/>
    <x v="0"/>
    <x v="1"/>
    <x v="3"/>
    <n v="17"/>
    <n v="911"/>
    <n v="15487"/>
  </r>
  <r>
    <x v="26"/>
    <x v="0"/>
    <x v="2"/>
    <x v="2"/>
    <n v="2"/>
    <n v="490"/>
    <n v="980"/>
  </r>
  <r>
    <x v="27"/>
    <x v="0"/>
    <x v="3"/>
    <x v="4"/>
    <n v="3"/>
    <n v="597"/>
    <n v="1791"/>
  </r>
  <r>
    <x v="28"/>
    <x v="0"/>
    <x v="2"/>
    <x v="1"/>
    <n v="12"/>
    <n v="922"/>
    <n v="11064"/>
  </r>
  <r>
    <x v="29"/>
    <x v="0"/>
    <x v="1"/>
    <x v="2"/>
    <n v="13"/>
    <n v="189"/>
    <n v="2457"/>
  </r>
  <r>
    <x v="4"/>
    <x v="0"/>
    <x v="0"/>
    <x v="4"/>
    <n v="17"/>
    <n v="935"/>
    <n v="15895"/>
  </r>
  <r>
    <x v="30"/>
    <x v="0"/>
    <x v="1"/>
    <x v="2"/>
    <n v="13"/>
    <n v="767"/>
    <n v="9971"/>
  </r>
  <r>
    <x v="31"/>
    <x v="0"/>
    <x v="0"/>
    <x v="0"/>
    <n v="20"/>
    <n v="226"/>
    <n v="4520"/>
  </r>
  <r>
    <x v="32"/>
    <x v="0"/>
    <x v="1"/>
    <x v="0"/>
    <n v="11"/>
    <n v="507"/>
    <n v="5577"/>
  </r>
  <r>
    <x v="33"/>
    <x v="0"/>
    <x v="3"/>
    <x v="2"/>
    <n v="2"/>
    <n v="441"/>
    <n v="882"/>
  </r>
  <r>
    <x v="12"/>
    <x v="0"/>
    <x v="3"/>
    <x v="2"/>
    <n v="15"/>
    <n v="151"/>
    <n v="2265"/>
  </r>
  <r>
    <x v="34"/>
    <x v="0"/>
    <x v="3"/>
    <x v="3"/>
    <n v="14"/>
    <n v="662"/>
    <n v="9268"/>
  </r>
  <r>
    <x v="35"/>
    <x v="0"/>
    <x v="2"/>
    <x v="2"/>
    <n v="2"/>
    <n v="502"/>
    <n v="1004"/>
  </r>
  <r>
    <x v="36"/>
    <x v="0"/>
    <x v="4"/>
    <x v="4"/>
    <n v="14"/>
    <n v="933"/>
    <n v="13062"/>
  </r>
  <r>
    <x v="37"/>
    <x v="0"/>
    <x v="3"/>
    <x v="4"/>
    <n v="5"/>
    <n v="411"/>
    <n v="2055"/>
  </r>
  <r>
    <x v="38"/>
    <x v="0"/>
    <x v="0"/>
    <x v="1"/>
    <n v="18"/>
    <n v="649"/>
    <n v="11682"/>
  </r>
  <r>
    <x v="39"/>
    <x v="1"/>
    <x v="4"/>
    <x v="3"/>
    <n v="5"/>
    <n v="239"/>
    <n v="1195"/>
  </r>
  <r>
    <x v="40"/>
    <x v="1"/>
    <x v="1"/>
    <x v="0"/>
    <n v="7"/>
    <n v="339"/>
    <n v="2373"/>
  </r>
  <r>
    <x v="41"/>
    <x v="1"/>
    <x v="4"/>
    <x v="4"/>
    <n v="6"/>
    <n v="674"/>
    <n v="4044"/>
  </r>
  <r>
    <x v="42"/>
    <x v="1"/>
    <x v="0"/>
    <x v="3"/>
    <n v="8"/>
    <n v="505"/>
    <n v="4040"/>
  </r>
  <r>
    <x v="43"/>
    <x v="1"/>
    <x v="2"/>
    <x v="4"/>
    <n v="8"/>
    <n v="208"/>
    <n v="1664"/>
  </r>
  <r>
    <x v="18"/>
    <x v="1"/>
    <x v="0"/>
    <x v="2"/>
    <n v="4"/>
    <n v="721"/>
    <n v="2884"/>
  </r>
  <r>
    <x v="44"/>
    <x v="1"/>
    <x v="4"/>
    <x v="1"/>
    <n v="18"/>
    <n v="488"/>
    <n v="8784"/>
  </r>
  <r>
    <x v="45"/>
    <x v="1"/>
    <x v="0"/>
    <x v="0"/>
    <n v="12"/>
    <n v="809"/>
    <n v="9708"/>
  </r>
  <r>
    <x v="37"/>
    <x v="1"/>
    <x v="2"/>
    <x v="3"/>
    <n v="4"/>
    <n v="236"/>
    <n v="944"/>
  </r>
  <r>
    <x v="46"/>
    <x v="1"/>
    <x v="2"/>
    <x v="4"/>
    <n v="12"/>
    <n v="193"/>
    <n v="2316"/>
  </r>
  <r>
    <x v="47"/>
    <x v="1"/>
    <x v="4"/>
    <x v="0"/>
    <n v="10"/>
    <n v="861"/>
    <n v="8610"/>
  </r>
  <r>
    <x v="48"/>
    <x v="1"/>
    <x v="0"/>
    <x v="2"/>
    <n v="18"/>
    <n v="624"/>
    <n v="11232"/>
  </r>
  <r>
    <x v="49"/>
    <x v="1"/>
    <x v="1"/>
    <x v="1"/>
    <n v="18"/>
    <n v="364"/>
    <n v="6552"/>
  </r>
  <r>
    <x v="50"/>
    <x v="1"/>
    <x v="2"/>
    <x v="3"/>
    <n v="16"/>
    <n v="364"/>
    <n v="5824"/>
  </r>
  <r>
    <x v="51"/>
    <x v="1"/>
    <x v="0"/>
    <x v="1"/>
    <n v="8"/>
    <n v="289"/>
    <n v="2312"/>
  </r>
  <r>
    <x v="52"/>
    <x v="1"/>
    <x v="1"/>
    <x v="4"/>
    <n v="14"/>
    <n v="482"/>
    <n v="6748"/>
  </r>
  <r>
    <x v="53"/>
    <x v="1"/>
    <x v="1"/>
    <x v="4"/>
    <n v="3"/>
    <n v="743"/>
    <n v="2229"/>
  </r>
  <r>
    <x v="54"/>
    <x v="1"/>
    <x v="2"/>
    <x v="2"/>
    <n v="11"/>
    <n v="416"/>
    <n v="4576"/>
  </r>
  <r>
    <x v="55"/>
    <x v="1"/>
    <x v="1"/>
    <x v="3"/>
    <n v="15"/>
    <n v="803"/>
    <n v="12045"/>
  </r>
  <r>
    <x v="35"/>
    <x v="1"/>
    <x v="3"/>
    <x v="3"/>
    <n v="13"/>
    <n v="301"/>
    <n v="3913"/>
  </r>
  <r>
    <x v="56"/>
    <x v="1"/>
    <x v="4"/>
    <x v="3"/>
    <n v="19"/>
    <n v="500"/>
    <n v="9500"/>
  </r>
  <r>
    <x v="57"/>
    <x v="1"/>
    <x v="0"/>
    <x v="2"/>
    <n v="15"/>
    <n v="812"/>
    <n v="12180"/>
  </r>
  <r>
    <x v="58"/>
    <x v="1"/>
    <x v="4"/>
    <x v="1"/>
    <n v="1"/>
    <n v="814"/>
    <n v="814"/>
  </r>
  <r>
    <x v="31"/>
    <x v="1"/>
    <x v="3"/>
    <x v="2"/>
    <n v="16"/>
    <n v="462"/>
    <n v="7392"/>
  </r>
  <r>
    <x v="59"/>
    <x v="1"/>
    <x v="4"/>
    <x v="4"/>
    <n v="15"/>
    <n v="952"/>
    <n v="14280"/>
  </r>
  <r>
    <x v="9"/>
    <x v="1"/>
    <x v="1"/>
    <x v="4"/>
    <n v="15"/>
    <n v="410"/>
    <n v="6150"/>
  </r>
  <r>
    <x v="60"/>
    <x v="1"/>
    <x v="1"/>
    <x v="4"/>
    <n v="3"/>
    <n v="537"/>
    <n v="1611"/>
  </r>
  <r>
    <x v="61"/>
    <x v="1"/>
    <x v="1"/>
    <x v="0"/>
    <n v="20"/>
    <n v="514"/>
    <n v="10280"/>
  </r>
  <r>
    <x v="16"/>
    <x v="1"/>
    <x v="1"/>
    <x v="1"/>
    <n v="12"/>
    <n v="335"/>
    <n v="4020"/>
  </r>
  <r>
    <x v="62"/>
    <x v="1"/>
    <x v="3"/>
    <x v="4"/>
    <n v="15"/>
    <n v="865"/>
    <n v="12975"/>
  </r>
  <r>
    <x v="63"/>
    <x v="1"/>
    <x v="3"/>
    <x v="4"/>
    <n v="4"/>
    <n v="387"/>
    <n v="1548"/>
  </r>
  <r>
    <x v="29"/>
    <x v="1"/>
    <x v="0"/>
    <x v="2"/>
    <n v="2"/>
    <n v="431"/>
    <n v="862"/>
  </r>
  <r>
    <x v="64"/>
    <x v="1"/>
    <x v="2"/>
    <x v="4"/>
    <n v="9"/>
    <n v="902"/>
    <n v="8118"/>
  </r>
  <r>
    <x v="65"/>
    <x v="1"/>
    <x v="2"/>
    <x v="4"/>
    <n v="20"/>
    <n v="425"/>
    <n v="8500"/>
  </r>
  <r>
    <x v="52"/>
    <x v="1"/>
    <x v="0"/>
    <x v="1"/>
    <n v="17"/>
    <n v="973"/>
    <n v="16541"/>
  </r>
  <r>
    <x v="66"/>
    <x v="1"/>
    <x v="4"/>
    <x v="1"/>
    <n v="6"/>
    <n v="346"/>
    <n v="2076"/>
  </r>
  <r>
    <x v="67"/>
    <x v="1"/>
    <x v="4"/>
    <x v="1"/>
    <n v="19"/>
    <n v="498"/>
    <n v="9462"/>
  </r>
  <r>
    <x v="68"/>
    <x v="1"/>
    <x v="2"/>
    <x v="0"/>
    <n v="5"/>
    <n v="329"/>
    <n v="1645"/>
  </r>
  <r>
    <x v="69"/>
    <x v="1"/>
    <x v="2"/>
    <x v="1"/>
    <n v="13"/>
    <n v="228"/>
    <n v="2964"/>
  </r>
  <r>
    <x v="43"/>
    <x v="1"/>
    <x v="2"/>
    <x v="4"/>
    <n v="9"/>
    <n v="945"/>
    <n v="8505"/>
  </r>
  <r>
    <x v="70"/>
    <x v="1"/>
    <x v="2"/>
    <x v="0"/>
    <n v="20"/>
    <n v="343"/>
    <n v="6860"/>
  </r>
  <r>
    <x v="71"/>
    <x v="1"/>
    <x v="3"/>
    <x v="0"/>
    <n v="18"/>
    <n v="926"/>
    <n v="16668"/>
  </r>
  <r>
    <x v="64"/>
    <x v="1"/>
    <x v="1"/>
    <x v="1"/>
    <n v="7"/>
    <n v="243"/>
    <n v="1701"/>
  </r>
  <r>
    <x v="72"/>
    <x v="1"/>
    <x v="2"/>
    <x v="2"/>
    <n v="5"/>
    <n v="295"/>
    <n v="1475"/>
  </r>
  <r>
    <x v="73"/>
    <x v="1"/>
    <x v="4"/>
    <x v="2"/>
    <n v="20"/>
    <n v="608"/>
    <n v="12160"/>
  </r>
  <r>
    <x v="74"/>
    <x v="1"/>
    <x v="3"/>
    <x v="0"/>
    <n v="16"/>
    <n v="819"/>
    <n v="13104"/>
  </r>
  <r>
    <x v="75"/>
    <x v="1"/>
    <x v="2"/>
    <x v="4"/>
    <n v="2"/>
    <n v="607"/>
    <n v="1214"/>
  </r>
  <r>
    <x v="6"/>
    <x v="1"/>
    <x v="0"/>
    <x v="0"/>
    <n v="17"/>
    <n v="632"/>
    <n v="10744"/>
  </r>
  <r>
    <x v="76"/>
    <x v="1"/>
    <x v="3"/>
    <x v="0"/>
    <n v="1"/>
    <n v="277"/>
    <n v="277"/>
  </r>
  <r>
    <x v="77"/>
    <x v="1"/>
    <x v="1"/>
    <x v="2"/>
    <n v="2"/>
    <n v="326"/>
    <n v="652"/>
  </r>
  <r>
    <x v="78"/>
    <x v="1"/>
    <x v="2"/>
    <x v="0"/>
    <n v="17"/>
    <n v="361"/>
    <n v="6137"/>
  </r>
  <r>
    <x v="79"/>
    <x v="1"/>
    <x v="1"/>
    <x v="1"/>
    <n v="5"/>
    <n v="985"/>
    <n v="4925"/>
  </r>
  <r>
    <x v="80"/>
    <x v="1"/>
    <x v="4"/>
    <x v="1"/>
    <n v="12"/>
    <n v="756"/>
    <n v="9072"/>
  </r>
  <r>
    <x v="81"/>
    <x v="1"/>
    <x v="2"/>
    <x v="2"/>
    <n v="14"/>
    <n v="289"/>
    <n v="4046"/>
  </r>
  <r>
    <x v="82"/>
    <x v="1"/>
    <x v="0"/>
    <x v="1"/>
    <n v="5"/>
    <n v="983"/>
    <n v="4915"/>
  </r>
  <r>
    <x v="83"/>
    <x v="1"/>
    <x v="2"/>
    <x v="4"/>
    <n v="1"/>
    <n v="208"/>
    <n v="208"/>
  </r>
  <r>
    <x v="84"/>
    <x v="1"/>
    <x v="3"/>
    <x v="1"/>
    <n v="15"/>
    <n v="664"/>
    <n v="9960"/>
  </r>
  <r>
    <x v="85"/>
    <x v="1"/>
    <x v="1"/>
    <x v="2"/>
    <n v="4"/>
    <n v="682"/>
    <n v="2728"/>
  </r>
  <r>
    <x v="86"/>
    <x v="1"/>
    <x v="3"/>
    <x v="1"/>
    <n v="15"/>
    <n v="891"/>
    <n v="13365"/>
  </r>
  <r>
    <x v="67"/>
    <x v="1"/>
    <x v="4"/>
    <x v="3"/>
    <n v="1"/>
    <n v="166"/>
    <n v="166"/>
  </r>
  <r>
    <x v="87"/>
    <x v="1"/>
    <x v="3"/>
    <x v="3"/>
    <n v="14"/>
    <n v="841"/>
    <n v="11774"/>
  </r>
  <r>
    <x v="56"/>
    <x v="2"/>
    <x v="4"/>
    <x v="4"/>
    <n v="16"/>
    <n v="466"/>
    <n v="7456"/>
  </r>
  <r>
    <x v="88"/>
    <x v="2"/>
    <x v="4"/>
    <x v="4"/>
    <n v="16"/>
    <n v="688"/>
    <n v="11008"/>
  </r>
  <r>
    <x v="89"/>
    <x v="2"/>
    <x v="3"/>
    <x v="4"/>
    <n v="3"/>
    <n v="372"/>
    <n v="1116"/>
  </r>
  <r>
    <x v="90"/>
    <x v="2"/>
    <x v="3"/>
    <x v="2"/>
    <n v="6"/>
    <n v="524"/>
    <n v="3144"/>
  </r>
  <r>
    <x v="91"/>
    <x v="2"/>
    <x v="3"/>
    <x v="2"/>
    <n v="16"/>
    <n v="926"/>
    <n v="14816"/>
  </r>
  <r>
    <x v="62"/>
    <x v="2"/>
    <x v="3"/>
    <x v="3"/>
    <n v="14"/>
    <n v="580"/>
    <n v="8120"/>
  </r>
  <r>
    <x v="92"/>
    <x v="2"/>
    <x v="0"/>
    <x v="4"/>
    <n v="5"/>
    <n v="270"/>
    <n v="1350"/>
  </r>
  <r>
    <x v="93"/>
    <x v="2"/>
    <x v="3"/>
    <x v="3"/>
    <n v="14"/>
    <n v="582"/>
    <n v="8148"/>
  </r>
  <r>
    <x v="94"/>
    <x v="2"/>
    <x v="2"/>
    <x v="1"/>
    <n v="11"/>
    <n v="914"/>
    <n v="10054"/>
  </r>
  <r>
    <x v="6"/>
    <x v="2"/>
    <x v="3"/>
    <x v="3"/>
    <n v="8"/>
    <n v="458"/>
    <n v="3664"/>
  </r>
  <r>
    <x v="95"/>
    <x v="2"/>
    <x v="3"/>
    <x v="3"/>
    <n v="13"/>
    <n v="997"/>
    <n v="12961"/>
  </r>
  <r>
    <x v="96"/>
    <x v="2"/>
    <x v="3"/>
    <x v="1"/>
    <n v="19"/>
    <n v="488"/>
    <n v="9272"/>
  </r>
  <r>
    <x v="97"/>
    <x v="2"/>
    <x v="3"/>
    <x v="0"/>
    <n v="1"/>
    <n v="923"/>
    <n v="923"/>
  </r>
  <r>
    <x v="98"/>
    <x v="2"/>
    <x v="3"/>
    <x v="1"/>
    <n v="4"/>
    <n v="515"/>
    <n v="2060"/>
  </r>
  <r>
    <x v="99"/>
    <x v="2"/>
    <x v="3"/>
    <x v="3"/>
    <n v="8"/>
    <n v="572"/>
    <n v="4576"/>
  </r>
  <r>
    <x v="100"/>
    <x v="2"/>
    <x v="4"/>
    <x v="3"/>
    <n v="6"/>
    <n v="717"/>
    <n v="4302"/>
  </r>
  <r>
    <x v="27"/>
    <x v="2"/>
    <x v="0"/>
    <x v="2"/>
    <n v="2"/>
    <n v="707"/>
    <n v="1414"/>
  </r>
  <r>
    <x v="101"/>
    <x v="2"/>
    <x v="3"/>
    <x v="1"/>
    <n v="11"/>
    <n v="380"/>
    <n v="4180"/>
  </r>
  <r>
    <x v="102"/>
    <x v="2"/>
    <x v="3"/>
    <x v="1"/>
    <n v="11"/>
    <n v="553"/>
    <n v="6083"/>
  </r>
  <r>
    <x v="103"/>
    <x v="2"/>
    <x v="1"/>
    <x v="3"/>
    <n v="19"/>
    <n v="578"/>
    <n v="10982"/>
  </r>
  <r>
    <x v="104"/>
    <x v="2"/>
    <x v="0"/>
    <x v="1"/>
    <n v="11"/>
    <n v="983"/>
    <n v="10813"/>
  </r>
  <r>
    <x v="105"/>
    <x v="2"/>
    <x v="4"/>
    <x v="4"/>
    <n v="8"/>
    <n v="303"/>
    <n v="2424"/>
  </r>
  <r>
    <x v="106"/>
    <x v="2"/>
    <x v="2"/>
    <x v="0"/>
    <n v="11"/>
    <n v="681"/>
    <n v="7491"/>
  </r>
  <r>
    <x v="107"/>
    <x v="2"/>
    <x v="3"/>
    <x v="0"/>
    <n v="18"/>
    <n v="317"/>
    <n v="5706"/>
  </r>
  <r>
    <x v="108"/>
    <x v="2"/>
    <x v="2"/>
    <x v="1"/>
    <n v="1"/>
    <n v="802"/>
    <n v="802"/>
  </r>
  <r>
    <x v="73"/>
    <x v="2"/>
    <x v="0"/>
    <x v="4"/>
    <n v="14"/>
    <n v="617"/>
    <n v="8638"/>
  </r>
  <r>
    <x v="109"/>
    <x v="2"/>
    <x v="0"/>
    <x v="3"/>
    <n v="13"/>
    <n v="820"/>
    <n v="10660"/>
  </r>
  <r>
    <x v="110"/>
    <x v="2"/>
    <x v="2"/>
    <x v="0"/>
    <n v="5"/>
    <n v="520"/>
    <n v="2600"/>
  </r>
  <r>
    <x v="31"/>
    <x v="2"/>
    <x v="1"/>
    <x v="4"/>
    <n v="17"/>
    <n v="217"/>
    <n v="3689"/>
  </r>
  <r>
    <x v="111"/>
    <x v="2"/>
    <x v="4"/>
    <x v="0"/>
    <n v="14"/>
    <n v="159"/>
    <n v="2226"/>
  </r>
  <r>
    <x v="59"/>
    <x v="2"/>
    <x v="4"/>
    <x v="0"/>
    <n v="20"/>
    <n v="546"/>
    <n v="10920"/>
  </r>
  <r>
    <x v="26"/>
    <x v="2"/>
    <x v="1"/>
    <x v="1"/>
    <n v="6"/>
    <n v="197"/>
    <n v="1182"/>
  </r>
  <r>
    <x v="112"/>
    <x v="2"/>
    <x v="0"/>
    <x v="4"/>
    <n v="8"/>
    <n v="629"/>
    <n v="5032"/>
  </r>
  <r>
    <x v="12"/>
    <x v="2"/>
    <x v="2"/>
    <x v="1"/>
    <n v="9"/>
    <n v="588"/>
    <n v="5292"/>
  </r>
  <r>
    <x v="113"/>
    <x v="2"/>
    <x v="0"/>
    <x v="0"/>
    <n v="10"/>
    <n v="777"/>
    <n v="7770"/>
  </r>
  <r>
    <x v="97"/>
    <x v="2"/>
    <x v="2"/>
    <x v="0"/>
    <n v="17"/>
    <n v="381"/>
    <n v="6477"/>
  </r>
  <r>
    <x v="114"/>
    <x v="2"/>
    <x v="3"/>
    <x v="4"/>
    <n v="3"/>
    <n v="782"/>
    <n v="2346"/>
  </r>
  <r>
    <x v="67"/>
    <x v="2"/>
    <x v="1"/>
    <x v="2"/>
    <n v="3"/>
    <n v="526"/>
    <n v="1578"/>
  </r>
  <r>
    <x v="70"/>
    <x v="2"/>
    <x v="0"/>
    <x v="1"/>
    <n v="8"/>
    <n v="876"/>
    <n v="7008"/>
  </r>
  <r>
    <x v="68"/>
    <x v="2"/>
    <x v="4"/>
    <x v="0"/>
    <n v="12"/>
    <n v="928"/>
    <n v="11136"/>
  </r>
  <r>
    <x v="80"/>
    <x v="2"/>
    <x v="1"/>
    <x v="0"/>
    <n v="2"/>
    <n v="167"/>
    <n v="334"/>
  </r>
  <r>
    <x v="72"/>
    <x v="2"/>
    <x v="3"/>
    <x v="2"/>
    <n v="8"/>
    <n v="655"/>
    <n v="5240"/>
  </r>
  <r>
    <x v="115"/>
    <x v="2"/>
    <x v="3"/>
    <x v="0"/>
    <n v="6"/>
    <n v="170"/>
    <n v="1020"/>
  </r>
  <r>
    <x v="17"/>
    <x v="2"/>
    <x v="3"/>
    <x v="0"/>
    <n v="16"/>
    <n v="790"/>
    <n v="12640"/>
  </r>
  <r>
    <x v="116"/>
    <x v="2"/>
    <x v="3"/>
    <x v="4"/>
    <n v="15"/>
    <n v="545"/>
    <n v="8175"/>
  </r>
  <r>
    <x v="12"/>
    <x v="2"/>
    <x v="0"/>
    <x v="3"/>
    <n v="8"/>
    <n v="220"/>
    <n v="1760"/>
  </r>
  <r>
    <x v="117"/>
    <x v="2"/>
    <x v="2"/>
    <x v="1"/>
    <n v="14"/>
    <n v="563"/>
    <n v="7882"/>
  </r>
  <r>
    <x v="36"/>
    <x v="2"/>
    <x v="4"/>
    <x v="2"/>
    <n v="10"/>
    <n v="899"/>
    <n v="8990"/>
  </r>
  <r>
    <x v="48"/>
    <x v="2"/>
    <x v="0"/>
    <x v="3"/>
    <n v="20"/>
    <n v="638"/>
    <n v="12760"/>
  </r>
  <r>
    <x v="24"/>
    <x v="2"/>
    <x v="3"/>
    <x v="1"/>
    <n v="18"/>
    <n v="154"/>
    <n v="2772"/>
  </r>
  <r>
    <x v="22"/>
    <x v="2"/>
    <x v="0"/>
    <x v="3"/>
    <n v="19"/>
    <n v="761"/>
    <n v="14459"/>
  </r>
  <r>
    <x v="118"/>
    <x v="2"/>
    <x v="4"/>
    <x v="0"/>
    <n v="19"/>
    <n v="576"/>
    <n v="10944"/>
  </r>
  <r>
    <x v="119"/>
    <x v="2"/>
    <x v="2"/>
    <x v="0"/>
    <n v="16"/>
    <n v="599"/>
    <n v="9584"/>
  </r>
  <r>
    <x v="120"/>
    <x v="2"/>
    <x v="2"/>
    <x v="1"/>
    <n v="4"/>
    <n v="189"/>
    <n v="756"/>
  </r>
  <r>
    <x v="71"/>
    <x v="2"/>
    <x v="0"/>
    <x v="0"/>
    <n v="9"/>
    <n v="522"/>
    <n v="4698"/>
  </r>
  <r>
    <x v="121"/>
    <x v="2"/>
    <x v="0"/>
    <x v="0"/>
    <n v="14"/>
    <n v="694"/>
    <n v="9716"/>
  </r>
  <r>
    <x v="122"/>
    <x v="3"/>
    <x v="4"/>
    <x v="0"/>
    <n v="16"/>
    <n v="381"/>
    <n v="6096"/>
  </r>
  <r>
    <x v="123"/>
    <x v="3"/>
    <x v="1"/>
    <x v="0"/>
    <n v="18"/>
    <n v="833"/>
    <n v="14994"/>
  </r>
  <r>
    <x v="124"/>
    <x v="3"/>
    <x v="1"/>
    <x v="2"/>
    <n v="6"/>
    <n v="765"/>
    <n v="4590"/>
  </r>
  <r>
    <x v="41"/>
    <x v="3"/>
    <x v="2"/>
    <x v="2"/>
    <n v="18"/>
    <n v="159"/>
    <n v="2862"/>
  </r>
  <r>
    <x v="125"/>
    <x v="3"/>
    <x v="3"/>
    <x v="2"/>
    <n v="12"/>
    <n v="545"/>
    <n v="6540"/>
  </r>
  <r>
    <x v="126"/>
    <x v="3"/>
    <x v="1"/>
    <x v="3"/>
    <n v="17"/>
    <n v="803"/>
    <n v="13651"/>
  </r>
  <r>
    <x v="127"/>
    <x v="3"/>
    <x v="1"/>
    <x v="3"/>
    <n v="18"/>
    <n v="592"/>
    <n v="10656"/>
  </r>
  <r>
    <x v="128"/>
    <x v="3"/>
    <x v="1"/>
    <x v="4"/>
    <n v="18"/>
    <n v="869"/>
    <n v="15642"/>
  </r>
  <r>
    <x v="117"/>
    <x v="3"/>
    <x v="4"/>
    <x v="3"/>
    <n v="18"/>
    <n v="994"/>
    <n v="17892"/>
  </r>
  <r>
    <x v="129"/>
    <x v="3"/>
    <x v="1"/>
    <x v="4"/>
    <n v="18"/>
    <n v="180"/>
    <n v="3240"/>
  </r>
  <r>
    <x v="35"/>
    <x v="3"/>
    <x v="1"/>
    <x v="4"/>
    <n v="16"/>
    <n v="164"/>
    <n v="2624"/>
  </r>
  <r>
    <x v="2"/>
    <x v="3"/>
    <x v="0"/>
    <x v="2"/>
    <n v="17"/>
    <n v="476"/>
    <n v="8092"/>
  </r>
  <r>
    <x v="70"/>
    <x v="3"/>
    <x v="3"/>
    <x v="0"/>
    <n v="13"/>
    <n v="346"/>
    <n v="4498"/>
  </r>
  <r>
    <x v="130"/>
    <x v="3"/>
    <x v="2"/>
    <x v="0"/>
    <n v="14"/>
    <n v="606"/>
    <n v="8484"/>
  </r>
  <r>
    <x v="131"/>
    <x v="3"/>
    <x v="0"/>
    <x v="2"/>
    <n v="16"/>
    <n v="711"/>
    <n v="11376"/>
  </r>
  <r>
    <x v="132"/>
    <x v="3"/>
    <x v="0"/>
    <x v="1"/>
    <n v="2"/>
    <n v="212"/>
    <n v="424"/>
  </r>
  <r>
    <x v="133"/>
    <x v="3"/>
    <x v="0"/>
    <x v="0"/>
    <n v="1"/>
    <n v="547"/>
    <n v="547"/>
  </r>
  <r>
    <x v="134"/>
    <x v="3"/>
    <x v="1"/>
    <x v="1"/>
    <n v="14"/>
    <n v="896"/>
    <n v="12544"/>
  </r>
  <r>
    <x v="135"/>
    <x v="3"/>
    <x v="4"/>
    <x v="3"/>
    <n v="9"/>
    <n v="311"/>
    <n v="2799"/>
  </r>
  <r>
    <x v="136"/>
    <x v="3"/>
    <x v="0"/>
    <x v="1"/>
    <n v="1"/>
    <n v="183"/>
    <n v="183"/>
  </r>
  <r>
    <x v="38"/>
    <x v="3"/>
    <x v="1"/>
    <x v="2"/>
    <n v="16"/>
    <n v="373"/>
    <n v="5968"/>
  </r>
  <r>
    <x v="137"/>
    <x v="3"/>
    <x v="1"/>
    <x v="4"/>
    <n v="11"/>
    <n v="957"/>
    <n v="10527"/>
  </r>
  <r>
    <x v="138"/>
    <x v="3"/>
    <x v="2"/>
    <x v="2"/>
    <n v="10"/>
    <n v="483"/>
    <n v="4830"/>
  </r>
  <r>
    <x v="139"/>
    <x v="3"/>
    <x v="2"/>
    <x v="1"/>
    <n v="3"/>
    <n v="989"/>
    <n v="2967"/>
  </r>
  <r>
    <x v="140"/>
    <x v="3"/>
    <x v="0"/>
    <x v="3"/>
    <n v="3"/>
    <n v="712"/>
    <n v="2136"/>
  </r>
  <r>
    <x v="45"/>
    <x v="3"/>
    <x v="1"/>
    <x v="2"/>
    <n v="6"/>
    <n v="812"/>
    <n v="4872"/>
  </r>
  <r>
    <x v="103"/>
    <x v="3"/>
    <x v="1"/>
    <x v="1"/>
    <n v="7"/>
    <n v="482"/>
    <n v="3374"/>
  </r>
  <r>
    <x v="51"/>
    <x v="3"/>
    <x v="2"/>
    <x v="0"/>
    <n v="12"/>
    <n v="331"/>
    <n v="3972"/>
  </r>
  <r>
    <x v="73"/>
    <x v="3"/>
    <x v="0"/>
    <x v="1"/>
    <n v="10"/>
    <n v="731"/>
    <n v="7310"/>
  </r>
  <r>
    <x v="40"/>
    <x v="3"/>
    <x v="1"/>
    <x v="3"/>
    <n v="10"/>
    <n v="851"/>
    <n v="8510"/>
  </r>
  <r>
    <x v="141"/>
    <x v="3"/>
    <x v="0"/>
    <x v="0"/>
    <n v="11"/>
    <n v="575"/>
    <n v="6325"/>
  </r>
  <r>
    <x v="142"/>
    <x v="3"/>
    <x v="3"/>
    <x v="3"/>
    <n v="11"/>
    <n v="497"/>
    <n v="5467"/>
  </r>
  <r>
    <x v="143"/>
    <x v="3"/>
    <x v="0"/>
    <x v="2"/>
    <n v="19"/>
    <n v="925"/>
    <n v="17575"/>
  </r>
  <r>
    <x v="118"/>
    <x v="3"/>
    <x v="2"/>
    <x v="4"/>
    <n v="20"/>
    <n v="201"/>
    <n v="4020"/>
  </r>
  <r>
    <x v="136"/>
    <x v="3"/>
    <x v="3"/>
    <x v="2"/>
    <n v="6"/>
    <n v="747"/>
    <n v="4482"/>
  </r>
  <r>
    <x v="25"/>
    <x v="3"/>
    <x v="3"/>
    <x v="3"/>
    <n v="14"/>
    <n v="841"/>
    <n v="11774"/>
  </r>
  <r>
    <x v="16"/>
    <x v="3"/>
    <x v="1"/>
    <x v="4"/>
    <n v="11"/>
    <n v="454"/>
    <n v="4994"/>
  </r>
  <r>
    <x v="144"/>
    <x v="3"/>
    <x v="3"/>
    <x v="2"/>
    <n v="6"/>
    <n v="872"/>
    <n v="5232"/>
  </r>
  <r>
    <x v="145"/>
    <x v="3"/>
    <x v="1"/>
    <x v="4"/>
    <n v="10"/>
    <n v="545"/>
    <n v="5450"/>
  </r>
  <r>
    <x v="19"/>
    <x v="3"/>
    <x v="3"/>
    <x v="4"/>
    <n v="5"/>
    <n v="746"/>
    <n v="37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BB518E-25D7-42DC-A5BC-29FCB17AE88F}" name="PivotTable1" cacheId="10" applyNumberFormats="0" applyBorderFormats="0" applyFontFormats="0" applyPatternFormats="0" applyAlignmentFormats="0" applyWidthHeightFormats="1" dataCaption="Values" updatedVersion="8" minRefreshableVersion="5" useAutoFormatting="1" itemPrintTitles="1" createdVersion="8" indent="0" multipleFieldFilters="0" chartFormat="36">
  <location ref="A3:B8" firstHeaderRow="1" firstDataRow="1" firstDataCol="1" rowPageCount="1" colPageCount="1"/>
  <pivotFields count="9">
    <pivotField numFmtId="14" showAll="0">
      <items count="147">
        <item x="53"/>
        <item x="85"/>
        <item x="12"/>
        <item x="22"/>
        <item x="28"/>
        <item x="76"/>
        <item x="44"/>
        <item x="102"/>
        <item x="104"/>
        <item x="54"/>
        <item x="75"/>
        <item x="129"/>
        <item x="112"/>
        <item x="82"/>
        <item x="124"/>
        <item x="60"/>
        <item x="78"/>
        <item x="8"/>
        <item x="30"/>
        <item x="65"/>
        <item x="97"/>
        <item x="59"/>
        <item x="35"/>
        <item x="77"/>
        <item x="71"/>
        <item x="131"/>
        <item x="96"/>
        <item x="90"/>
        <item x="81"/>
        <item x="98"/>
        <item x="11"/>
        <item x="7"/>
        <item x="2"/>
        <item x="42"/>
        <item x="63"/>
        <item x="37"/>
        <item x="67"/>
        <item x="84"/>
        <item x="41"/>
        <item x="40"/>
        <item x="109"/>
        <item x="20"/>
        <item x="118"/>
        <item x="86"/>
        <item x="128"/>
        <item x="105"/>
        <item x="69"/>
        <item x="23"/>
        <item x="38"/>
        <item x="64"/>
        <item x="16"/>
        <item x="138"/>
        <item x="100"/>
        <item x="117"/>
        <item x="47"/>
        <item x="139"/>
        <item x="32"/>
        <item x="88"/>
        <item x="134"/>
        <item x="36"/>
        <item x="31"/>
        <item x="66"/>
        <item x="52"/>
        <item x="120"/>
        <item x="39"/>
        <item x="58"/>
        <item x="13"/>
        <item x="55"/>
        <item x="21"/>
        <item x="68"/>
        <item x="45"/>
        <item x="33"/>
        <item x="99"/>
        <item x="73"/>
        <item x="141"/>
        <item x="10"/>
        <item x="130"/>
        <item x="50"/>
        <item x="108"/>
        <item x="49"/>
        <item x="136"/>
        <item x="51"/>
        <item x="122"/>
        <item x="125"/>
        <item x="140"/>
        <item x="95"/>
        <item x="56"/>
        <item x="46"/>
        <item x="121"/>
        <item x="79"/>
        <item x="24"/>
        <item x="93"/>
        <item x="145"/>
        <item x="25"/>
        <item x="26"/>
        <item x="5"/>
        <item x="115"/>
        <item x="111"/>
        <item x="92"/>
        <item x="113"/>
        <item x="127"/>
        <item x="91"/>
        <item x="107"/>
        <item x="17"/>
        <item x="126"/>
        <item x="106"/>
        <item x="27"/>
        <item x="137"/>
        <item x="9"/>
        <item x="34"/>
        <item x="135"/>
        <item x="72"/>
        <item x="101"/>
        <item x="15"/>
        <item x="62"/>
        <item x="61"/>
        <item x="114"/>
        <item x="29"/>
        <item x="116"/>
        <item x="3"/>
        <item x="103"/>
        <item x="19"/>
        <item x="48"/>
        <item x="89"/>
        <item x="94"/>
        <item x="1"/>
        <item x="123"/>
        <item x="87"/>
        <item x="18"/>
        <item x="4"/>
        <item x="57"/>
        <item x="70"/>
        <item x="6"/>
        <item x="0"/>
        <item x="143"/>
        <item x="43"/>
        <item x="80"/>
        <item x="133"/>
        <item x="144"/>
        <item x="132"/>
        <item x="119"/>
        <item x="14"/>
        <item x="110"/>
        <item x="83"/>
        <item x="74"/>
        <item x="142"/>
        <item t="default"/>
      </items>
    </pivotField>
    <pivotField axis="axisRow" showAll="0">
      <items count="5">
        <item x="0"/>
        <item x="1"/>
        <item x="2"/>
        <item x="3"/>
        <item t="default"/>
      </items>
    </pivotField>
    <pivotField axis="axisPage" multipleItemSelectionAllowed="1" showAll="0">
      <items count="6">
        <item x="3"/>
        <item x="1"/>
        <item x="4"/>
        <item x="2"/>
        <item x="0"/>
        <item t="default"/>
      </items>
    </pivotField>
    <pivotField showAll="0"/>
    <pivotField numFmtId="2" showAll="0"/>
    <pivotField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5">
    <i>
      <x/>
    </i>
    <i>
      <x v="1"/>
    </i>
    <i>
      <x v="2"/>
    </i>
    <i>
      <x v="3"/>
    </i>
    <i t="grand">
      <x/>
    </i>
  </rowItems>
  <colItems count="1">
    <i/>
  </colItems>
  <pageFields count="1">
    <pageField fld="2" hier="-1"/>
  </pageFields>
  <dataFields count="1">
    <dataField name="Sum of Total Sales" fld="6" baseField="0" baseItem="0" numFmtId="1"/>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35" format="10"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1" count="1" selected="0">
            <x v="0"/>
          </reference>
        </references>
      </pivotArea>
    </chartFormat>
    <chartFormat chart="35" format="12">
      <pivotArea type="data" outline="0" fieldPosition="0">
        <references count="2">
          <reference field="4294967294" count="1" selected="0">
            <x v="0"/>
          </reference>
          <reference field="1" count="1" selected="0">
            <x v="1"/>
          </reference>
        </references>
      </pivotArea>
    </chartFormat>
    <chartFormat chart="35" format="13">
      <pivotArea type="data" outline="0" fieldPosition="0">
        <references count="2">
          <reference field="4294967294" count="1" selected="0">
            <x v="0"/>
          </reference>
          <reference field="1" count="1" selected="0">
            <x v="2"/>
          </reference>
        </references>
      </pivotArea>
    </chartFormat>
    <chartFormat chart="35" format="1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A536A6-EF91-4F19-9E94-AB6932A84507}" name="PivotTable2" cacheId="10" applyNumberFormats="0" applyBorderFormats="0" applyFontFormats="0" applyPatternFormats="0" applyAlignmentFormats="0" applyWidthHeightFormats="1" dataCaption="Values" updatedVersion="8" minRefreshableVersion="5" useAutoFormatting="1" itemPrintTitles="1" createdVersion="8" indent="0" multipleFieldFilters="0" chartFormat="4">
  <location ref="A3:B16" firstHeaderRow="1" firstDataRow="1" firstDataCol="1" rowPageCount="1" colPageCount="1"/>
  <pivotFields count="9">
    <pivotField numFmtId="14" showAll="0">
      <items count="147">
        <item x="53"/>
        <item x="85"/>
        <item x="12"/>
        <item x="22"/>
        <item x="28"/>
        <item x="76"/>
        <item x="44"/>
        <item x="102"/>
        <item x="104"/>
        <item x="54"/>
        <item x="75"/>
        <item x="129"/>
        <item x="112"/>
        <item x="82"/>
        <item x="124"/>
        <item x="60"/>
        <item x="78"/>
        <item x="8"/>
        <item x="30"/>
        <item x="65"/>
        <item x="97"/>
        <item x="59"/>
        <item x="35"/>
        <item x="77"/>
        <item x="71"/>
        <item x="131"/>
        <item x="96"/>
        <item x="90"/>
        <item x="81"/>
        <item x="98"/>
        <item x="11"/>
        <item x="7"/>
        <item x="2"/>
        <item x="42"/>
        <item x="63"/>
        <item x="37"/>
        <item x="67"/>
        <item x="84"/>
        <item x="41"/>
        <item x="40"/>
        <item x="109"/>
        <item x="20"/>
        <item x="118"/>
        <item x="86"/>
        <item x="128"/>
        <item x="105"/>
        <item x="69"/>
        <item x="23"/>
        <item x="38"/>
        <item x="64"/>
        <item x="16"/>
        <item x="138"/>
        <item x="100"/>
        <item x="117"/>
        <item x="47"/>
        <item x="139"/>
        <item x="32"/>
        <item x="88"/>
        <item x="134"/>
        <item x="36"/>
        <item x="31"/>
        <item x="66"/>
        <item x="52"/>
        <item x="120"/>
        <item x="39"/>
        <item x="58"/>
        <item x="13"/>
        <item x="55"/>
        <item x="21"/>
        <item x="68"/>
        <item x="45"/>
        <item x="33"/>
        <item x="99"/>
        <item x="73"/>
        <item x="141"/>
        <item x="10"/>
        <item x="130"/>
        <item x="50"/>
        <item x="108"/>
        <item x="49"/>
        <item x="136"/>
        <item x="51"/>
        <item x="122"/>
        <item x="125"/>
        <item x="140"/>
        <item x="95"/>
        <item x="56"/>
        <item x="46"/>
        <item x="121"/>
        <item x="79"/>
        <item x="24"/>
        <item x="93"/>
        <item x="145"/>
        <item x="25"/>
        <item x="26"/>
        <item x="5"/>
        <item x="115"/>
        <item x="111"/>
        <item x="92"/>
        <item x="113"/>
        <item x="127"/>
        <item x="91"/>
        <item x="107"/>
        <item x="17"/>
        <item x="126"/>
        <item x="106"/>
        <item x="27"/>
        <item x="137"/>
        <item x="9"/>
        <item x="34"/>
        <item x="135"/>
        <item x="72"/>
        <item x="101"/>
        <item x="15"/>
        <item x="62"/>
        <item x="61"/>
        <item x="114"/>
        <item x="29"/>
        <item x="116"/>
        <item x="3"/>
        <item x="103"/>
        <item x="19"/>
        <item x="48"/>
        <item x="89"/>
        <item x="94"/>
        <item x="1"/>
        <item x="123"/>
        <item x="87"/>
        <item x="18"/>
        <item x="4"/>
        <item x="57"/>
        <item x="70"/>
        <item x="6"/>
        <item x="0"/>
        <item x="143"/>
        <item x="43"/>
        <item x="80"/>
        <item x="133"/>
        <item x="144"/>
        <item x="132"/>
        <item x="119"/>
        <item x="14"/>
        <item x="110"/>
        <item x="83"/>
        <item x="74"/>
        <item x="142"/>
        <item t="default"/>
      </items>
    </pivotField>
    <pivotField axis="axisPage" multipleItemSelectionAllowed="1" showAll="0">
      <items count="5">
        <item x="0"/>
        <item x="1"/>
        <item x="2"/>
        <item x="3"/>
        <item t="default"/>
      </items>
    </pivotField>
    <pivotField showAll="0">
      <items count="6">
        <item x="3"/>
        <item x="1"/>
        <item x="4"/>
        <item x="2"/>
        <item x="0"/>
        <item t="default"/>
      </items>
    </pivotField>
    <pivotField showAll="0"/>
    <pivotField numFmtId="2" showAll="0"/>
    <pivotField numFmtId="1" showAll="0"/>
    <pivotField dataField="1" numFmtI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3">
    <i>
      <x v="1"/>
    </i>
    <i>
      <x v="2"/>
    </i>
    <i>
      <x v="3"/>
    </i>
    <i>
      <x v="4"/>
    </i>
    <i>
      <x v="5"/>
    </i>
    <i>
      <x v="6"/>
    </i>
    <i>
      <x v="7"/>
    </i>
    <i>
      <x v="8"/>
    </i>
    <i>
      <x v="9"/>
    </i>
    <i>
      <x v="10"/>
    </i>
    <i>
      <x v="11"/>
    </i>
    <i>
      <x v="12"/>
    </i>
    <i t="grand">
      <x/>
    </i>
  </rowItems>
  <colItems count="1">
    <i/>
  </colItems>
  <pageFields count="1">
    <pageField fld="1" hier="-1"/>
  </pageFields>
  <dataFields count="1">
    <dataField name="Sum of Total Sales" fld="6" baseField="0" baseItem="0" numFmtId="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C10CF0-484D-4C23-920A-CFD46924D324}" name="PivotTable3" cacheId="10" applyNumberFormats="0" applyBorderFormats="0" applyFontFormats="0" applyPatternFormats="0" applyAlignmentFormats="0" applyWidthHeightFormats="1" dataCaption="Values" updatedVersion="8" minRefreshableVersion="5" useAutoFormatting="1" itemPrintTitles="1" createdVersion="8" indent="0" multipleFieldFilters="0" chartFormat="6">
  <location ref="A3:B9" firstHeaderRow="1" firstDataRow="1" firstDataCol="1"/>
  <pivotFields count="9">
    <pivotField numFmtId="14" showAll="0">
      <items count="147">
        <item x="53"/>
        <item x="85"/>
        <item x="12"/>
        <item x="22"/>
        <item x="28"/>
        <item x="76"/>
        <item x="44"/>
        <item x="102"/>
        <item x="104"/>
        <item x="54"/>
        <item x="75"/>
        <item x="129"/>
        <item x="112"/>
        <item x="82"/>
        <item x="124"/>
        <item x="60"/>
        <item x="78"/>
        <item x="8"/>
        <item x="30"/>
        <item x="65"/>
        <item x="97"/>
        <item x="59"/>
        <item x="35"/>
        <item x="77"/>
        <item x="71"/>
        <item x="131"/>
        <item x="96"/>
        <item x="90"/>
        <item x="81"/>
        <item x="98"/>
        <item x="11"/>
        <item x="7"/>
        <item x="2"/>
        <item x="42"/>
        <item x="63"/>
        <item x="37"/>
        <item x="67"/>
        <item x="84"/>
        <item x="41"/>
        <item x="40"/>
        <item x="109"/>
        <item x="20"/>
        <item x="118"/>
        <item x="86"/>
        <item x="128"/>
        <item x="105"/>
        <item x="69"/>
        <item x="23"/>
        <item x="38"/>
        <item x="64"/>
        <item x="16"/>
        <item x="138"/>
        <item x="100"/>
        <item x="117"/>
        <item x="47"/>
        <item x="139"/>
        <item x="32"/>
        <item x="88"/>
        <item x="134"/>
        <item x="36"/>
        <item x="31"/>
        <item x="66"/>
        <item x="52"/>
        <item x="120"/>
        <item x="39"/>
        <item x="58"/>
        <item x="13"/>
        <item x="55"/>
        <item x="21"/>
        <item x="68"/>
        <item x="45"/>
        <item x="33"/>
        <item x="99"/>
        <item x="73"/>
        <item x="141"/>
        <item x="10"/>
        <item x="130"/>
        <item x="50"/>
        <item x="108"/>
        <item x="49"/>
        <item x="136"/>
        <item x="51"/>
        <item x="122"/>
        <item x="125"/>
        <item x="140"/>
        <item x="95"/>
        <item x="56"/>
        <item x="46"/>
        <item x="121"/>
        <item x="79"/>
        <item x="24"/>
        <item x="93"/>
        <item x="145"/>
        <item x="25"/>
        <item x="26"/>
        <item x="5"/>
        <item x="115"/>
        <item x="111"/>
        <item x="92"/>
        <item x="113"/>
        <item x="127"/>
        <item x="91"/>
        <item x="107"/>
        <item x="17"/>
        <item x="126"/>
        <item x="106"/>
        <item x="27"/>
        <item x="137"/>
        <item x="9"/>
        <item x="34"/>
        <item x="135"/>
        <item x="72"/>
        <item x="101"/>
        <item x="15"/>
        <item x="62"/>
        <item x="61"/>
        <item x="114"/>
        <item x="29"/>
        <item x="116"/>
        <item x="3"/>
        <item x="103"/>
        <item x="19"/>
        <item x="48"/>
        <item x="89"/>
        <item x="94"/>
        <item x="1"/>
        <item x="123"/>
        <item x="87"/>
        <item x="18"/>
        <item x="4"/>
        <item x="57"/>
        <item x="70"/>
        <item x="6"/>
        <item x="0"/>
        <item x="143"/>
        <item x="43"/>
        <item x="80"/>
        <item x="133"/>
        <item x="144"/>
        <item x="132"/>
        <item x="119"/>
        <item x="14"/>
        <item x="110"/>
        <item x="83"/>
        <item x="74"/>
        <item x="142"/>
        <item t="default"/>
      </items>
    </pivotField>
    <pivotField showAll="0">
      <items count="5">
        <item x="0"/>
        <item x="1"/>
        <item x="2"/>
        <item x="3"/>
        <item t="default"/>
      </items>
    </pivotField>
    <pivotField axis="axisRow" showAll="0">
      <items count="6">
        <item x="3"/>
        <item x="1"/>
        <item x="4"/>
        <item x="2"/>
        <item x="0"/>
        <item t="default"/>
      </items>
    </pivotField>
    <pivotField showAll="0"/>
    <pivotField numFmtId="2" showAll="0"/>
    <pivotField numFmtId="1" showAll="0"/>
    <pivotField dataField="1" numFmtId="1" showAll="0"/>
    <pivotField showAll="0"/>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Sum of Total Sales" fld="6" baseField="0" baseItem="0" numFmtId="1"/>
  </dataFields>
  <conditionalFormats count="1">
    <conditionalFormat scope="field" priority="1">
      <pivotAreas count="1">
        <pivotArea outline="0" collapsedLevelsAreSubtotals="1" fieldPosition="0">
          <references count="2">
            <reference field="4294967294" count="1" selected="0">
              <x v="0"/>
            </reference>
            <reference field="2" count="0" selected="0"/>
          </references>
        </pivotArea>
      </pivotAreas>
    </conditionalFormat>
  </conditional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EB0216-E9F6-4297-8BFB-419A8C3DB3E1}" name="PivotTable4" cacheId="10" applyNumberFormats="0" applyBorderFormats="0" applyFontFormats="0" applyPatternFormats="0" applyAlignmentFormats="0" applyWidthHeightFormats="1" dataCaption="Values" updatedVersion="8" minRefreshableVersion="5" useAutoFormatting="1" itemPrintTitles="1" createdVersion="8" indent="0" multipleFieldFilters="0" chartFormat="4">
  <location ref="A3:B9" firstHeaderRow="1" firstDataRow="1" firstDataCol="1"/>
  <pivotFields count="9">
    <pivotField numFmtId="14" showAll="0">
      <items count="147">
        <item x="53"/>
        <item x="85"/>
        <item x="12"/>
        <item x="22"/>
        <item x="28"/>
        <item x="76"/>
        <item x="44"/>
        <item x="102"/>
        <item x="104"/>
        <item x="54"/>
        <item x="75"/>
        <item x="129"/>
        <item x="112"/>
        <item x="82"/>
        <item x="124"/>
        <item x="60"/>
        <item x="78"/>
        <item x="8"/>
        <item x="30"/>
        <item x="65"/>
        <item x="97"/>
        <item x="59"/>
        <item x="35"/>
        <item x="77"/>
        <item x="71"/>
        <item x="131"/>
        <item x="96"/>
        <item x="90"/>
        <item x="81"/>
        <item x="98"/>
        <item x="11"/>
        <item x="7"/>
        <item x="2"/>
        <item x="42"/>
        <item x="63"/>
        <item x="37"/>
        <item x="67"/>
        <item x="84"/>
        <item x="41"/>
        <item x="40"/>
        <item x="109"/>
        <item x="20"/>
        <item x="118"/>
        <item x="86"/>
        <item x="128"/>
        <item x="105"/>
        <item x="69"/>
        <item x="23"/>
        <item x="38"/>
        <item x="64"/>
        <item x="16"/>
        <item x="138"/>
        <item x="100"/>
        <item x="117"/>
        <item x="47"/>
        <item x="139"/>
        <item x="32"/>
        <item x="88"/>
        <item x="134"/>
        <item x="36"/>
        <item x="31"/>
        <item x="66"/>
        <item x="52"/>
        <item x="120"/>
        <item x="39"/>
        <item x="58"/>
        <item x="13"/>
        <item x="55"/>
        <item x="21"/>
        <item x="68"/>
        <item x="45"/>
        <item x="33"/>
        <item x="99"/>
        <item x="73"/>
        <item x="141"/>
        <item x="10"/>
        <item x="130"/>
        <item x="50"/>
        <item x="108"/>
        <item x="49"/>
        <item x="136"/>
        <item x="51"/>
        <item x="122"/>
        <item x="125"/>
        <item x="140"/>
        <item x="95"/>
        <item x="56"/>
        <item x="46"/>
        <item x="121"/>
        <item x="79"/>
        <item x="24"/>
        <item x="93"/>
        <item x="145"/>
        <item x="25"/>
        <item x="26"/>
        <item x="5"/>
        <item x="115"/>
        <item x="111"/>
        <item x="92"/>
        <item x="113"/>
        <item x="127"/>
        <item x="91"/>
        <item x="107"/>
        <item x="17"/>
        <item x="126"/>
        <item x="106"/>
        <item x="27"/>
        <item x="137"/>
        <item x="9"/>
        <item x="34"/>
        <item x="135"/>
        <item x="72"/>
        <item x="101"/>
        <item x="15"/>
        <item x="62"/>
        <item x="61"/>
        <item x="114"/>
        <item x="29"/>
        <item x="116"/>
        <item x="3"/>
        <item x="103"/>
        <item x="19"/>
        <item x="48"/>
        <item x="89"/>
        <item x="94"/>
        <item x="1"/>
        <item x="123"/>
        <item x="87"/>
        <item x="18"/>
        <item x="4"/>
        <item x="57"/>
        <item x="70"/>
        <item x="6"/>
        <item x="0"/>
        <item x="143"/>
        <item x="43"/>
        <item x="80"/>
        <item x="133"/>
        <item x="144"/>
        <item x="132"/>
        <item x="119"/>
        <item x="14"/>
        <item x="110"/>
        <item x="83"/>
        <item x="74"/>
        <item x="142"/>
        <item t="default"/>
      </items>
    </pivotField>
    <pivotField showAll="0">
      <items count="5">
        <item x="0"/>
        <item x="1"/>
        <item x="2"/>
        <item x="3"/>
        <item t="default"/>
      </items>
    </pivotField>
    <pivotField showAll="0">
      <items count="6">
        <item x="3"/>
        <item x="1"/>
        <item x="4"/>
        <item x="2"/>
        <item x="0"/>
        <item t="default"/>
      </items>
    </pivotField>
    <pivotField axis="axisRow" showAll="0">
      <items count="6">
        <item x="1"/>
        <item x="2"/>
        <item x="0"/>
        <item x="4"/>
        <item x="3"/>
        <item t="default"/>
      </items>
    </pivotField>
    <pivotField numFmtId="2" showAll="0"/>
    <pivotField numFmtId="1" showAll="0"/>
    <pivotField dataField="1" numFmtId="1" showAll="0"/>
    <pivotField showAll="0"/>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Total Sales" fld="6" baseField="0" baseItem="0" numFmtId="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92B23A5-AAC7-4873-BD6C-A98B2D100D76}" sourceName="Region">
  <pivotTables>
    <pivotTable tabId="6" name="PivotTable4"/>
    <pivotTable tabId="3" name="PivotTable2"/>
    <pivotTable tabId="5" name="PivotTable3"/>
    <pivotTable tabId="2" name="PivotTable1"/>
  </pivotTables>
  <data>
    <tabular pivotCacheId="1736552329">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4927BCF-BAFF-4A3E-BE8A-A12F57259904}" sourceName="Product">
  <pivotTables>
    <pivotTable tabId="6" name="PivotTable4"/>
    <pivotTable tabId="3" name="PivotTable2"/>
    <pivotTable tabId="5" name="PivotTable3"/>
    <pivotTable tabId="2" name="PivotTable1"/>
  </pivotTables>
  <data>
    <tabular pivotCacheId="1736552329">
      <items count="5">
        <i x="3" s="1"/>
        <i x="1" s="1"/>
        <i x="4"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17DF747E-E980-4275-A29E-10AE4A547BA4}" sourceName="Months (Date)">
  <pivotTables>
    <pivotTable tabId="6" name="PivotTable4"/>
    <pivotTable tabId="3" name="PivotTable2"/>
    <pivotTable tabId="5" name="PivotTable3"/>
    <pivotTable tabId="2" name="PivotTable1"/>
  </pivotTables>
  <data>
    <tabular pivotCacheId="1736552329">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2CB995B-D8BE-487B-8CD4-0F3AFF6BEFDE}" cache="Slicer_Region" caption="Region" rowHeight="234950"/>
  <slicer name="Product" xr10:uid="{2497D878-D8C1-4B8D-A756-D6753856E3E0}" cache="Slicer_Product" caption="Product" rowHeight="234950"/>
  <slicer name="Months (Date)" xr10:uid="{DBBB58BE-30F8-43DA-B32F-2FDF56D208FA}" cache="Slicer_Months__Date" caption="Months (D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3B1DE-92AD-415F-8160-2E8934EF0FDE}" name="Table1" displayName="Table1" ref="A1:G201" totalsRowShown="0" headerRowDxfId="3" headerRowBorderDxfId="8" tableBorderDxfId="9">
  <autoFilter ref="A1:G201" xr:uid="{6383B1DE-92AD-415F-8160-2E8934EF0FDE}"/>
  <sortState xmlns:xlrd2="http://schemas.microsoft.com/office/spreadsheetml/2017/richdata2" ref="A2:F201">
    <sortCondition ref="B1:B201"/>
  </sortState>
  <tableColumns count="7">
    <tableColumn id="1" xr3:uid="{B864A48B-0AE1-49C7-AF01-15046CB6AA0E}" name="Date" dataDxfId="7"/>
    <tableColumn id="2" xr3:uid="{DBDE16B7-1027-4F71-A2A7-73A4377D40E3}" name="Region" dataDxfId="6"/>
    <tableColumn id="3" xr3:uid="{A0F57688-1E91-454D-A540-1490DEBF370D}" name="Product" dataDxfId="5"/>
    <tableColumn id="4" xr3:uid="{C6FA6D02-F503-44C5-980B-E8872AAF8725}" name="Sales Rep" dataDxfId="4"/>
    <tableColumn id="5" xr3:uid="{F98EC2DB-134C-47FD-928F-B847CC178C58}" name="Units Sold" dataDxfId="2"/>
    <tableColumn id="6" xr3:uid="{25012FFC-FAF4-4D22-9BB1-D92F8578397E}" name="Unit Price" dataDxfId="1"/>
    <tableColumn id="9" xr3:uid="{3EB2F068-9EC5-4748-8D71-7BE79E444F3E}" name="Total Sales " dataDxfId="0">
      <calculatedColumnFormula>E2*F2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42DD0BF-D263-4A42-9D42-A680E6F776EC}" sourceName="Date">
  <pivotTables>
    <pivotTable tabId="2" name="PivotTable1"/>
    <pivotTable tabId="3" name="PivotTable2"/>
    <pivotTable tabId="5" name="PivotTable3"/>
    <pivotTable tabId="6" name="PivotTable4"/>
  </pivotTables>
  <state minimalRefreshVersion="6" lastRefreshVersion="6" pivotCacheId="1736552329"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E85560F-5000-4DA2-81CE-139C08DB9629}" cache="NativeTimeline_Date" caption="Date" level="2" selectionLevel="2" scrollPosition="2024-06-06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01"/>
  <sheetViews>
    <sheetView tabSelected="1" workbookViewId="0">
      <selection activeCell="I6" sqref="I6"/>
    </sheetView>
  </sheetViews>
  <sheetFormatPr defaultRowHeight="14.4" x14ac:dyDescent="0.3"/>
  <cols>
    <col min="1" max="1" width="15" customWidth="1"/>
    <col min="2" max="2" width="17.5546875" customWidth="1"/>
    <col min="3" max="3" width="15.5546875" customWidth="1"/>
    <col min="4" max="4" width="17.44140625" customWidth="1"/>
    <col min="5" max="5" width="17.21875" style="6" customWidth="1"/>
    <col min="6" max="6" width="17.33203125" style="8" customWidth="1"/>
  </cols>
  <sheetData>
    <row r="1" spans="1:7" x14ac:dyDescent="0.3">
      <c r="A1" s="3" t="s">
        <v>0</v>
      </c>
      <c r="B1" s="4" t="s">
        <v>1</v>
      </c>
      <c r="C1" s="4" t="s">
        <v>2</v>
      </c>
      <c r="D1" s="4" t="s">
        <v>3</v>
      </c>
      <c r="E1" s="5" t="s">
        <v>4</v>
      </c>
      <c r="F1" s="7" t="s">
        <v>5</v>
      </c>
      <c r="G1" s="4" t="s">
        <v>36</v>
      </c>
    </row>
    <row r="2" spans="1:7" x14ac:dyDescent="0.3">
      <c r="A2" s="2">
        <v>45624</v>
      </c>
      <c r="B2" s="1" t="s">
        <v>9</v>
      </c>
      <c r="C2" s="1" t="s">
        <v>12</v>
      </c>
      <c r="D2" s="1" t="s">
        <v>17</v>
      </c>
      <c r="E2" s="6">
        <v>13</v>
      </c>
      <c r="F2" s="8">
        <v>932</v>
      </c>
      <c r="G2" s="1">
        <f t="shared" ref="G2:G33" si="0">E2*F2</f>
        <v>12116</v>
      </c>
    </row>
    <row r="3" spans="1:7" x14ac:dyDescent="0.3">
      <c r="A3" s="2">
        <v>45612</v>
      </c>
      <c r="B3" s="1" t="s">
        <v>9</v>
      </c>
      <c r="C3" s="1" t="s">
        <v>13</v>
      </c>
      <c r="D3" s="1" t="s">
        <v>17</v>
      </c>
      <c r="E3" s="6">
        <v>20</v>
      </c>
      <c r="F3" s="8">
        <v>167</v>
      </c>
      <c r="G3" s="1">
        <f t="shared" si="0"/>
        <v>3340</v>
      </c>
    </row>
    <row r="4" spans="1:7" x14ac:dyDescent="0.3">
      <c r="A4" s="2">
        <v>45371</v>
      </c>
      <c r="B4" s="1" t="s">
        <v>9</v>
      </c>
      <c r="C4" s="1" t="s">
        <v>14</v>
      </c>
      <c r="D4" s="1" t="s">
        <v>19</v>
      </c>
      <c r="E4" s="6">
        <v>7</v>
      </c>
      <c r="F4" s="8">
        <v>332</v>
      </c>
      <c r="G4" s="1">
        <f t="shared" si="0"/>
        <v>2324</v>
      </c>
    </row>
    <row r="5" spans="1:7" x14ac:dyDescent="0.3">
      <c r="A5" s="2">
        <v>45601</v>
      </c>
      <c r="B5" s="1" t="s">
        <v>9</v>
      </c>
      <c r="C5" s="1" t="s">
        <v>11</v>
      </c>
      <c r="D5" s="1" t="s">
        <v>19</v>
      </c>
      <c r="E5" s="6">
        <v>17</v>
      </c>
      <c r="F5" s="8">
        <v>300</v>
      </c>
      <c r="G5" s="1">
        <f t="shared" si="0"/>
        <v>5100</v>
      </c>
    </row>
    <row r="6" spans="1:7" x14ac:dyDescent="0.3">
      <c r="A6" s="2">
        <v>45620</v>
      </c>
      <c r="B6" s="1" t="s">
        <v>9</v>
      </c>
      <c r="C6" s="1" t="s">
        <v>14</v>
      </c>
      <c r="D6" s="1" t="s">
        <v>17</v>
      </c>
      <c r="E6" s="6">
        <v>16</v>
      </c>
      <c r="F6" s="8">
        <v>686</v>
      </c>
      <c r="G6" s="1">
        <f t="shared" si="0"/>
        <v>10976</v>
      </c>
    </row>
    <row r="7" spans="1:7" x14ac:dyDescent="0.3">
      <c r="A7" s="2">
        <v>45538</v>
      </c>
      <c r="B7" s="1" t="s">
        <v>9</v>
      </c>
      <c r="C7" s="1" t="s">
        <v>12</v>
      </c>
      <c r="D7" s="1" t="s">
        <v>18</v>
      </c>
      <c r="E7" s="6">
        <v>12</v>
      </c>
      <c r="F7" s="8">
        <v>739</v>
      </c>
      <c r="G7" s="1">
        <f t="shared" si="0"/>
        <v>8868</v>
      </c>
    </row>
    <row r="8" spans="1:7" x14ac:dyDescent="0.3">
      <c r="A8" s="2">
        <v>45623</v>
      </c>
      <c r="B8" s="1" t="s">
        <v>9</v>
      </c>
      <c r="C8" s="1" t="s">
        <v>11</v>
      </c>
      <c r="D8" s="1" t="s">
        <v>17</v>
      </c>
      <c r="E8" s="6">
        <v>17</v>
      </c>
      <c r="F8" s="8">
        <v>667</v>
      </c>
      <c r="G8" s="1">
        <f t="shared" si="0"/>
        <v>11339</v>
      </c>
    </row>
    <row r="9" spans="1:7" x14ac:dyDescent="0.3">
      <c r="A9" s="2">
        <v>45370</v>
      </c>
      <c r="B9" s="1" t="s">
        <v>9</v>
      </c>
      <c r="C9" s="1" t="s">
        <v>14</v>
      </c>
      <c r="D9" s="1" t="s">
        <v>16</v>
      </c>
      <c r="E9" s="6">
        <v>1</v>
      </c>
      <c r="F9" s="8">
        <v>935</v>
      </c>
      <c r="G9" s="1">
        <f t="shared" si="0"/>
        <v>935</v>
      </c>
    </row>
    <row r="10" spans="1:7" x14ac:dyDescent="0.3">
      <c r="A10" s="2">
        <v>45329</v>
      </c>
      <c r="B10" s="1" t="s">
        <v>9</v>
      </c>
      <c r="C10" s="1" t="s">
        <v>14</v>
      </c>
      <c r="D10" s="1" t="s">
        <v>17</v>
      </c>
      <c r="E10" s="6">
        <v>13</v>
      </c>
      <c r="F10" s="8">
        <v>427</v>
      </c>
      <c r="G10" s="1">
        <f t="shared" si="0"/>
        <v>5551</v>
      </c>
    </row>
    <row r="11" spans="1:7" x14ac:dyDescent="0.3">
      <c r="A11" s="2">
        <v>45569</v>
      </c>
      <c r="B11" s="1" t="s">
        <v>9</v>
      </c>
      <c r="C11" s="1" t="s">
        <v>14</v>
      </c>
      <c r="D11" s="1" t="s">
        <v>18</v>
      </c>
      <c r="E11" s="6">
        <v>3</v>
      </c>
      <c r="F11" s="8">
        <v>443</v>
      </c>
      <c r="G11" s="1">
        <f t="shared" si="0"/>
        <v>1329</v>
      </c>
    </row>
    <row r="12" spans="1:7" x14ac:dyDescent="0.3">
      <c r="A12" s="2">
        <v>45486</v>
      </c>
      <c r="B12" s="1" t="s">
        <v>9</v>
      </c>
      <c r="C12" s="1" t="s">
        <v>11</v>
      </c>
      <c r="D12" s="1" t="s">
        <v>16</v>
      </c>
      <c r="E12" s="6">
        <v>16</v>
      </c>
      <c r="F12" s="8">
        <v>536</v>
      </c>
      <c r="G12" s="1">
        <f t="shared" si="0"/>
        <v>8576</v>
      </c>
    </row>
    <row r="13" spans="1:7" x14ac:dyDescent="0.3">
      <c r="A13" s="2">
        <v>45368</v>
      </c>
      <c r="B13" s="1" t="s">
        <v>9</v>
      </c>
      <c r="C13" s="1" t="s">
        <v>11</v>
      </c>
      <c r="D13" s="1" t="s">
        <v>15</v>
      </c>
      <c r="E13" s="6">
        <v>8</v>
      </c>
      <c r="F13" s="8">
        <v>933</v>
      </c>
      <c r="G13" s="1">
        <f t="shared" si="0"/>
        <v>7464</v>
      </c>
    </row>
    <row r="14" spans="1:7" x14ac:dyDescent="0.3">
      <c r="A14" s="2">
        <v>45297</v>
      </c>
      <c r="B14" s="1" t="s">
        <v>9</v>
      </c>
      <c r="C14" s="1" t="s">
        <v>14</v>
      </c>
      <c r="D14" s="1" t="s">
        <v>15</v>
      </c>
      <c r="E14" s="6">
        <v>8</v>
      </c>
      <c r="F14" s="8">
        <v>985</v>
      </c>
      <c r="G14" s="1">
        <f t="shared" si="0"/>
        <v>7880</v>
      </c>
    </row>
    <row r="15" spans="1:7" x14ac:dyDescent="0.3">
      <c r="A15" s="2">
        <v>45472</v>
      </c>
      <c r="B15" s="1" t="s">
        <v>9</v>
      </c>
      <c r="C15" s="1" t="s">
        <v>10</v>
      </c>
      <c r="D15" s="1" t="s">
        <v>16</v>
      </c>
      <c r="E15" s="6">
        <v>12</v>
      </c>
      <c r="F15" s="8">
        <v>193</v>
      </c>
      <c r="G15" s="1">
        <f t="shared" si="0"/>
        <v>2316</v>
      </c>
    </row>
    <row r="16" spans="1:7" x14ac:dyDescent="0.3">
      <c r="A16" s="2">
        <v>45647</v>
      </c>
      <c r="B16" s="1" t="s">
        <v>9</v>
      </c>
      <c r="C16" s="1" t="s">
        <v>10</v>
      </c>
      <c r="D16" s="1" t="s">
        <v>18</v>
      </c>
      <c r="E16" s="6">
        <v>7</v>
      </c>
      <c r="F16" s="8">
        <v>872</v>
      </c>
      <c r="G16" s="1">
        <f t="shared" si="0"/>
        <v>6104</v>
      </c>
    </row>
    <row r="17" spans="1:7" x14ac:dyDescent="0.3">
      <c r="A17" s="2">
        <v>45586</v>
      </c>
      <c r="B17" s="1" t="s">
        <v>9</v>
      </c>
      <c r="C17" s="1" t="s">
        <v>12</v>
      </c>
      <c r="D17" s="1" t="s">
        <v>16</v>
      </c>
      <c r="E17" s="6">
        <v>13</v>
      </c>
      <c r="F17" s="8">
        <v>688</v>
      </c>
      <c r="G17" s="1">
        <f t="shared" si="0"/>
        <v>8944</v>
      </c>
    </row>
    <row r="18" spans="1:7" x14ac:dyDescent="0.3">
      <c r="A18" s="2">
        <v>45414</v>
      </c>
      <c r="B18" s="1" t="s">
        <v>9</v>
      </c>
      <c r="C18" s="1" t="s">
        <v>12</v>
      </c>
      <c r="D18" s="1" t="s">
        <v>18</v>
      </c>
      <c r="E18" s="6">
        <v>9</v>
      </c>
      <c r="F18" s="8">
        <v>513</v>
      </c>
      <c r="G18" s="1">
        <f t="shared" si="0"/>
        <v>4617</v>
      </c>
    </row>
    <row r="19" spans="1:7" x14ac:dyDescent="0.3">
      <c r="A19" s="2">
        <v>45559</v>
      </c>
      <c r="B19" s="1" t="s">
        <v>9</v>
      </c>
      <c r="C19" s="1" t="s">
        <v>14</v>
      </c>
      <c r="D19" s="1" t="s">
        <v>19</v>
      </c>
      <c r="E19" s="6">
        <v>15</v>
      </c>
      <c r="F19" s="8">
        <v>865</v>
      </c>
      <c r="G19" s="1">
        <f t="shared" si="0"/>
        <v>12975</v>
      </c>
    </row>
    <row r="20" spans="1:7" x14ac:dyDescent="0.3">
      <c r="A20" s="2">
        <v>45617</v>
      </c>
      <c r="B20" s="1" t="s">
        <v>9</v>
      </c>
      <c r="C20" s="1" t="s">
        <v>13</v>
      </c>
      <c r="D20" s="1" t="s">
        <v>19</v>
      </c>
      <c r="E20" s="6">
        <v>10</v>
      </c>
      <c r="F20" s="8">
        <v>1000</v>
      </c>
      <c r="G20" s="1">
        <f t="shared" si="0"/>
        <v>10000</v>
      </c>
    </row>
    <row r="21" spans="1:7" x14ac:dyDescent="0.3">
      <c r="A21" s="2">
        <v>45605</v>
      </c>
      <c r="B21" s="1" t="s">
        <v>9</v>
      </c>
      <c r="C21" s="1" t="s">
        <v>10</v>
      </c>
      <c r="D21" s="1" t="s">
        <v>19</v>
      </c>
      <c r="E21" s="6">
        <v>7</v>
      </c>
      <c r="F21" s="8">
        <v>399</v>
      </c>
      <c r="G21" s="1">
        <f t="shared" si="0"/>
        <v>2793</v>
      </c>
    </row>
    <row r="22" spans="1:7" x14ac:dyDescent="0.3">
      <c r="A22" s="2">
        <v>45396</v>
      </c>
      <c r="B22" s="1" t="s">
        <v>9</v>
      </c>
      <c r="C22" s="1" t="s">
        <v>14</v>
      </c>
      <c r="D22" s="1" t="s">
        <v>17</v>
      </c>
      <c r="E22" s="6">
        <v>18</v>
      </c>
      <c r="F22" s="8">
        <v>501</v>
      </c>
      <c r="G22" s="1">
        <f t="shared" si="0"/>
        <v>9018</v>
      </c>
    </row>
    <row r="23" spans="1:7" x14ac:dyDescent="0.3">
      <c r="A23" s="2">
        <v>45538</v>
      </c>
      <c r="B23" s="1" t="s">
        <v>9</v>
      </c>
      <c r="C23" s="1" t="s">
        <v>12</v>
      </c>
      <c r="D23" s="1" t="s">
        <v>18</v>
      </c>
      <c r="E23" s="6">
        <v>10</v>
      </c>
      <c r="F23" s="8">
        <v>722</v>
      </c>
      <c r="G23" s="1">
        <f t="shared" si="0"/>
        <v>7220</v>
      </c>
    </row>
    <row r="24" spans="1:7" x14ac:dyDescent="0.3">
      <c r="A24" s="2">
        <v>45414</v>
      </c>
      <c r="B24" s="1" t="s">
        <v>9</v>
      </c>
      <c r="C24" s="1" t="s">
        <v>12</v>
      </c>
      <c r="D24" s="1" t="s">
        <v>15</v>
      </c>
      <c r="E24" s="6">
        <v>4</v>
      </c>
      <c r="F24" s="8">
        <v>821</v>
      </c>
      <c r="G24" s="1">
        <f t="shared" si="0"/>
        <v>3284</v>
      </c>
    </row>
    <row r="25" spans="1:7" x14ac:dyDescent="0.3">
      <c r="A25" s="2">
        <v>45475</v>
      </c>
      <c r="B25" s="1" t="s">
        <v>9</v>
      </c>
      <c r="C25" s="1" t="s">
        <v>12</v>
      </c>
      <c r="D25" s="1" t="s">
        <v>18</v>
      </c>
      <c r="E25" s="6">
        <v>14</v>
      </c>
      <c r="F25" s="8">
        <v>690</v>
      </c>
      <c r="G25" s="1">
        <f t="shared" si="0"/>
        <v>9660</v>
      </c>
    </row>
    <row r="26" spans="1:7" x14ac:dyDescent="0.3">
      <c r="A26" s="2">
        <v>45298</v>
      </c>
      <c r="B26" s="1" t="s">
        <v>9</v>
      </c>
      <c r="C26" s="1" t="s">
        <v>10</v>
      </c>
      <c r="D26" s="1" t="s">
        <v>18</v>
      </c>
      <c r="E26" s="6">
        <v>7</v>
      </c>
      <c r="F26" s="8">
        <v>196</v>
      </c>
      <c r="G26" s="1">
        <f t="shared" si="0"/>
        <v>1372</v>
      </c>
    </row>
    <row r="27" spans="1:7" x14ac:dyDescent="0.3">
      <c r="A27" s="2">
        <v>45407</v>
      </c>
      <c r="B27" s="1" t="s">
        <v>9</v>
      </c>
      <c r="C27" s="1" t="s">
        <v>11</v>
      </c>
      <c r="D27" s="1" t="s">
        <v>18</v>
      </c>
      <c r="E27" s="6">
        <v>15</v>
      </c>
      <c r="F27" s="8">
        <v>161</v>
      </c>
      <c r="G27" s="1">
        <f t="shared" si="0"/>
        <v>2415</v>
      </c>
    </row>
    <row r="28" spans="1:7" x14ac:dyDescent="0.3">
      <c r="A28" s="2">
        <v>45521</v>
      </c>
      <c r="B28" s="1" t="s">
        <v>9</v>
      </c>
      <c r="C28" s="1" t="s">
        <v>12</v>
      </c>
      <c r="D28" s="1" t="s">
        <v>15</v>
      </c>
      <c r="E28" s="6">
        <v>13</v>
      </c>
      <c r="F28" s="8">
        <v>899</v>
      </c>
      <c r="G28" s="1">
        <f t="shared" si="0"/>
        <v>11687</v>
      </c>
    </row>
    <row r="29" spans="1:7" x14ac:dyDescent="0.3">
      <c r="A29" s="2">
        <v>45527</v>
      </c>
      <c r="B29" s="1" t="s">
        <v>9</v>
      </c>
      <c r="C29" s="1" t="s">
        <v>13</v>
      </c>
      <c r="D29" s="1" t="s">
        <v>16</v>
      </c>
      <c r="E29" s="6">
        <v>17</v>
      </c>
      <c r="F29" s="8">
        <v>911</v>
      </c>
      <c r="G29" s="1">
        <f t="shared" si="0"/>
        <v>15487</v>
      </c>
    </row>
    <row r="30" spans="1:7" x14ac:dyDescent="0.3">
      <c r="A30" s="2">
        <v>45528</v>
      </c>
      <c r="B30" s="1" t="s">
        <v>9</v>
      </c>
      <c r="C30" s="1" t="s">
        <v>14</v>
      </c>
      <c r="D30" s="1" t="s">
        <v>18</v>
      </c>
      <c r="E30" s="6">
        <v>2</v>
      </c>
      <c r="F30" s="8">
        <v>490</v>
      </c>
      <c r="G30" s="1">
        <f t="shared" si="0"/>
        <v>980</v>
      </c>
    </row>
    <row r="31" spans="1:7" x14ac:dyDescent="0.3">
      <c r="A31" s="2">
        <v>45566</v>
      </c>
      <c r="B31" s="1" t="s">
        <v>9</v>
      </c>
      <c r="C31" s="1" t="s">
        <v>11</v>
      </c>
      <c r="D31" s="1" t="s">
        <v>15</v>
      </c>
      <c r="E31" s="6">
        <v>3</v>
      </c>
      <c r="F31" s="8">
        <v>597</v>
      </c>
      <c r="G31" s="1">
        <f t="shared" si="0"/>
        <v>1791</v>
      </c>
    </row>
    <row r="32" spans="1:7" x14ac:dyDescent="0.3">
      <c r="A32" s="2">
        <v>45300</v>
      </c>
      <c r="B32" s="1" t="s">
        <v>9</v>
      </c>
      <c r="C32" s="1" t="s">
        <v>14</v>
      </c>
      <c r="D32" s="1" t="s">
        <v>19</v>
      </c>
      <c r="E32" s="6">
        <v>12</v>
      </c>
      <c r="F32" s="8">
        <v>922</v>
      </c>
      <c r="G32" s="1">
        <f t="shared" si="0"/>
        <v>11064</v>
      </c>
    </row>
    <row r="33" spans="1:7" x14ac:dyDescent="0.3">
      <c r="A33" s="2">
        <v>45599</v>
      </c>
      <c r="B33" s="1" t="s">
        <v>9</v>
      </c>
      <c r="C33" s="1" t="s">
        <v>13</v>
      </c>
      <c r="D33" s="1" t="s">
        <v>18</v>
      </c>
      <c r="E33" s="6">
        <v>13</v>
      </c>
      <c r="F33" s="8">
        <v>189</v>
      </c>
      <c r="G33" s="1">
        <f t="shared" si="0"/>
        <v>2457</v>
      </c>
    </row>
    <row r="34" spans="1:7" x14ac:dyDescent="0.3">
      <c r="A34" s="2">
        <v>45620</v>
      </c>
      <c r="B34" s="1" t="s">
        <v>9</v>
      </c>
      <c r="C34" s="1" t="s">
        <v>12</v>
      </c>
      <c r="D34" s="1" t="s">
        <v>15</v>
      </c>
      <c r="E34" s="6">
        <v>17</v>
      </c>
      <c r="F34" s="8">
        <v>935</v>
      </c>
      <c r="G34" s="1">
        <f t="shared" ref="G34:G65" si="1">E34*F34</f>
        <v>15895</v>
      </c>
    </row>
    <row r="35" spans="1:7" x14ac:dyDescent="0.3">
      <c r="A35" s="2">
        <v>45330</v>
      </c>
      <c r="B35" s="1" t="s">
        <v>9</v>
      </c>
      <c r="C35" s="1" t="s">
        <v>13</v>
      </c>
      <c r="D35" s="1" t="s">
        <v>18</v>
      </c>
      <c r="E35" s="6">
        <v>13</v>
      </c>
      <c r="F35" s="8">
        <v>767</v>
      </c>
      <c r="G35" s="1">
        <f t="shared" si="1"/>
        <v>9971</v>
      </c>
    </row>
    <row r="36" spans="1:7" x14ac:dyDescent="0.3">
      <c r="A36" s="2">
        <v>45456</v>
      </c>
      <c r="B36" s="1" t="s">
        <v>9</v>
      </c>
      <c r="C36" s="1" t="s">
        <v>12</v>
      </c>
      <c r="D36" s="1" t="s">
        <v>17</v>
      </c>
      <c r="E36" s="6">
        <v>20</v>
      </c>
      <c r="F36" s="8">
        <v>226</v>
      </c>
      <c r="G36" s="1">
        <f t="shared" si="1"/>
        <v>4520</v>
      </c>
    </row>
    <row r="37" spans="1:7" x14ac:dyDescent="0.3">
      <c r="A37" s="2">
        <v>45442</v>
      </c>
      <c r="B37" s="1" t="s">
        <v>9</v>
      </c>
      <c r="C37" s="1" t="s">
        <v>13</v>
      </c>
      <c r="D37" s="1" t="s">
        <v>17</v>
      </c>
      <c r="E37" s="6">
        <v>11</v>
      </c>
      <c r="F37" s="8">
        <v>507</v>
      </c>
      <c r="G37" s="1">
        <f t="shared" si="1"/>
        <v>5577</v>
      </c>
    </row>
    <row r="38" spans="1:7" x14ac:dyDescent="0.3">
      <c r="A38" s="2">
        <v>45480</v>
      </c>
      <c r="B38" s="1" t="s">
        <v>9</v>
      </c>
      <c r="C38" s="1" t="s">
        <v>11</v>
      </c>
      <c r="D38" s="1" t="s">
        <v>18</v>
      </c>
      <c r="E38" s="6">
        <v>2</v>
      </c>
      <c r="F38" s="8">
        <v>441</v>
      </c>
      <c r="G38" s="1">
        <f t="shared" si="1"/>
        <v>882</v>
      </c>
    </row>
    <row r="39" spans="1:7" x14ac:dyDescent="0.3">
      <c r="A39" s="2">
        <v>45297</v>
      </c>
      <c r="B39" s="1" t="s">
        <v>9</v>
      </c>
      <c r="C39" s="1" t="s">
        <v>11</v>
      </c>
      <c r="D39" s="1" t="s">
        <v>18</v>
      </c>
      <c r="E39" s="6">
        <v>15</v>
      </c>
      <c r="F39" s="8">
        <v>151</v>
      </c>
      <c r="G39" s="1">
        <f t="shared" si="1"/>
        <v>2265</v>
      </c>
    </row>
    <row r="40" spans="1:7" x14ac:dyDescent="0.3">
      <c r="A40" s="2">
        <v>45571</v>
      </c>
      <c r="B40" s="1" t="s">
        <v>9</v>
      </c>
      <c r="C40" s="1" t="s">
        <v>11</v>
      </c>
      <c r="D40" s="1" t="s">
        <v>16</v>
      </c>
      <c r="E40" s="6">
        <v>14</v>
      </c>
      <c r="F40" s="8">
        <v>662</v>
      </c>
      <c r="G40" s="1">
        <f t="shared" si="1"/>
        <v>9268</v>
      </c>
    </row>
    <row r="41" spans="1:7" x14ac:dyDescent="0.3">
      <c r="A41" s="2">
        <v>45336</v>
      </c>
      <c r="B41" s="1" t="s">
        <v>9</v>
      </c>
      <c r="C41" s="1" t="s">
        <v>14</v>
      </c>
      <c r="D41" s="1" t="s">
        <v>18</v>
      </c>
      <c r="E41" s="6">
        <v>2</v>
      </c>
      <c r="F41" s="8">
        <v>502</v>
      </c>
      <c r="G41" s="1">
        <f t="shared" si="1"/>
        <v>1004</v>
      </c>
    </row>
    <row r="42" spans="1:7" x14ac:dyDescent="0.3">
      <c r="A42" s="2">
        <v>45454</v>
      </c>
      <c r="B42" s="1" t="s">
        <v>9</v>
      </c>
      <c r="C42" s="1" t="s">
        <v>10</v>
      </c>
      <c r="D42" s="1" t="s">
        <v>15</v>
      </c>
      <c r="E42" s="6">
        <v>14</v>
      </c>
      <c r="F42" s="8">
        <v>933</v>
      </c>
      <c r="G42" s="1">
        <f t="shared" si="1"/>
        <v>13062</v>
      </c>
    </row>
    <row r="43" spans="1:7" x14ac:dyDescent="0.3">
      <c r="A43" s="2">
        <v>45377</v>
      </c>
      <c r="B43" s="1" t="s">
        <v>9</v>
      </c>
      <c r="C43" s="1" t="s">
        <v>11</v>
      </c>
      <c r="D43" s="1" t="s">
        <v>15</v>
      </c>
      <c r="E43" s="6">
        <v>5</v>
      </c>
      <c r="F43" s="8">
        <v>411</v>
      </c>
      <c r="G43" s="1">
        <f t="shared" si="1"/>
        <v>2055</v>
      </c>
    </row>
    <row r="44" spans="1:7" x14ac:dyDescent="0.3">
      <c r="A44" s="2">
        <v>45408</v>
      </c>
      <c r="B44" s="1" t="s">
        <v>9</v>
      </c>
      <c r="C44" s="1" t="s">
        <v>12</v>
      </c>
      <c r="D44" s="1" t="s">
        <v>19</v>
      </c>
      <c r="E44" s="6">
        <v>18</v>
      </c>
      <c r="F44" s="8">
        <v>649</v>
      </c>
      <c r="G44" s="1">
        <f t="shared" si="1"/>
        <v>11682</v>
      </c>
    </row>
    <row r="45" spans="1:7" x14ac:dyDescent="0.3">
      <c r="A45" s="2">
        <v>45469</v>
      </c>
      <c r="B45" s="1" t="s">
        <v>7</v>
      </c>
      <c r="C45" s="1" t="s">
        <v>10</v>
      </c>
      <c r="D45" s="1" t="s">
        <v>16</v>
      </c>
      <c r="E45" s="6">
        <v>5</v>
      </c>
      <c r="F45" s="8">
        <v>239</v>
      </c>
      <c r="G45" s="1">
        <f t="shared" si="1"/>
        <v>1195</v>
      </c>
    </row>
    <row r="46" spans="1:7" x14ac:dyDescent="0.3">
      <c r="A46" s="2">
        <v>45390</v>
      </c>
      <c r="B46" s="1" t="s">
        <v>7</v>
      </c>
      <c r="C46" s="1" t="s">
        <v>13</v>
      </c>
      <c r="D46" s="1" t="s">
        <v>17</v>
      </c>
      <c r="E46" s="6">
        <v>7</v>
      </c>
      <c r="F46" s="8">
        <v>339</v>
      </c>
      <c r="G46" s="1">
        <f t="shared" si="1"/>
        <v>2373</v>
      </c>
    </row>
    <row r="47" spans="1:7" x14ac:dyDescent="0.3">
      <c r="A47" s="2">
        <v>45389</v>
      </c>
      <c r="B47" s="1" t="s">
        <v>7</v>
      </c>
      <c r="C47" s="1" t="s">
        <v>10</v>
      </c>
      <c r="D47" s="1" t="s">
        <v>15</v>
      </c>
      <c r="E47" s="6">
        <v>6</v>
      </c>
      <c r="F47" s="8">
        <v>674</v>
      </c>
      <c r="G47" s="1">
        <f t="shared" si="1"/>
        <v>4044</v>
      </c>
    </row>
    <row r="48" spans="1:7" x14ac:dyDescent="0.3">
      <c r="A48" s="2">
        <v>45373</v>
      </c>
      <c r="B48" s="1" t="s">
        <v>7</v>
      </c>
      <c r="C48" s="1" t="s">
        <v>12</v>
      </c>
      <c r="D48" s="1" t="s">
        <v>16</v>
      </c>
      <c r="E48" s="6">
        <v>8</v>
      </c>
      <c r="F48" s="8">
        <v>505</v>
      </c>
      <c r="G48" s="1">
        <f t="shared" si="1"/>
        <v>4040</v>
      </c>
    </row>
    <row r="49" spans="1:7" x14ac:dyDescent="0.3">
      <c r="A49" s="2">
        <v>45627</v>
      </c>
      <c r="B49" s="1" t="s">
        <v>7</v>
      </c>
      <c r="C49" s="1" t="s">
        <v>14</v>
      </c>
      <c r="D49" s="1" t="s">
        <v>15</v>
      </c>
      <c r="E49" s="6">
        <v>8</v>
      </c>
      <c r="F49" s="8">
        <v>208</v>
      </c>
      <c r="G49" s="1">
        <f t="shared" si="1"/>
        <v>1664</v>
      </c>
    </row>
    <row r="50" spans="1:7" x14ac:dyDescent="0.3">
      <c r="A50" s="2">
        <v>45617</v>
      </c>
      <c r="B50" s="1" t="s">
        <v>7</v>
      </c>
      <c r="C50" s="1" t="s">
        <v>12</v>
      </c>
      <c r="D50" s="1" t="s">
        <v>18</v>
      </c>
      <c r="E50" s="6">
        <v>4</v>
      </c>
      <c r="F50" s="8">
        <v>721</v>
      </c>
      <c r="G50" s="1">
        <f t="shared" si="1"/>
        <v>2884</v>
      </c>
    </row>
    <row r="51" spans="1:7" x14ac:dyDescent="0.3">
      <c r="A51" s="2">
        <v>45306</v>
      </c>
      <c r="B51" s="1" t="s">
        <v>7</v>
      </c>
      <c r="C51" s="1" t="s">
        <v>10</v>
      </c>
      <c r="D51" s="1" t="s">
        <v>19</v>
      </c>
      <c r="E51" s="6">
        <v>18</v>
      </c>
      <c r="F51" s="8">
        <v>488</v>
      </c>
      <c r="G51" s="1">
        <f t="shared" si="1"/>
        <v>8784</v>
      </c>
    </row>
    <row r="52" spans="1:7" x14ac:dyDescent="0.3">
      <c r="A52" s="2">
        <v>45478</v>
      </c>
      <c r="B52" s="1" t="s">
        <v>7</v>
      </c>
      <c r="C52" s="1" t="s">
        <v>12</v>
      </c>
      <c r="D52" s="1" t="s">
        <v>17</v>
      </c>
      <c r="E52" s="6">
        <v>12</v>
      </c>
      <c r="F52" s="8">
        <v>809</v>
      </c>
      <c r="G52" s="1">
        <f t="shared" si="1"/>
        <v>9708</v>
      </c>
    </row>
    <row r="53" spans="1:7" x14ac:dyDescent="0.3">
      <c r="A53" s="2">
        <v>45377</v>
      </c>
      <c r="B53" s="1" t="s">
        <v>7</v>
      </c>
      <c r="C53" s="1" t="s">
        <v>14</v>
      </c>
      <c r="D53" s="1" t="s">
        <v>16</v>
      </c>
      <c r="E53" s="6">
        <v>4</v>
      </c>
      <c r="F53" s="8">
        <v>236</v>
      </c>
      <c r="G53" s="1">
        <f t="shared" si="1"/>
        <v>944</v>
      </c>
    </row>
    <row r="54" spans="1:7" x14ac:dyDescent="0.3">
      <c r="A54" s="2">
        <v>45516</v>
      </c>
      <c r="B54" s="1" t="s">
        <v>7</v>
      </c>
      <c r="C54" s="1" t="s">
        <v>14</v>
      </c>
      <c r="D54" s="1" t="s">
        <v>15</v>
      </c>
      <c r="E54" s="6">
        <v>12</v>
      </c>
      <c r="F54" s="8">
        <v>193</v>
      </c>
      <c r="G54" s="1">
        <f t="shared" si="1"/>
        <v>2316</v>
      </c>
    </row>
    <row r="55" spans="1:7" x14ac:dyDescent="0.3">
      <c r="A55" s="2">
        <v>45436</v>
      </c>
      <c r="B55" s="1" t="s">
        <v>7</v>
      </c>
      <c r="C55" s="1" t="s">
        <v>10</v>
      </c>
      <c r="D55" s="1" t="s">
        <v>17</v>
      </c>
      <c r="E55" s="6">
        <v>10</v>
      </c>
      <c r="F55" s="8">
        <v>861</v>
      </c>
      <c r="G55" s="1">
        <f t="shared" si="1"/>
        <v>8610</v>
      </c>
    </row>
    <row r="56" spans="1:7" x14ac:dyDescent="0.3">
      <c r="A56" s="2">
        <v>45607</v>
      </c>
      <c r="B56" s="1" t="s">
        <v>7</v>
      </c>
      <c r="C56" s="1" t="s">
        <v>12</v>
      </c>
      <c r="D56" s="1" t="s">
        <v>18</v>
      </c>
      <c r="E56" s="6">
        <v>18</v>
      </c>
      <c r="F56" s="8">
        <v>624</v>
      </c>
      <c r="G56" s="1">
        <f t="shared" si="1"/>
        <v>11232</v>
      </c>
    </row>
    <row r="57" spans="1:7" x14ac:dyDescent="0.3">
      <c r="A57" s="2">
        <v>45495</v>
      </c>
      <c r="B57" s="1" t="s">
        <v>7</v>
      </c>
      <c r="C57" s="1" t="s">
        <v>13</v>
      </c>
      <c r="D57" s="1" t="s">
        <v>19</v>
      </c>
      <c r="E57" s="6">
        <v>18</v>
      </c>
      <c r="F57" s="8">
        <v>364</v>
      </c>
      <c r="G57" s="1">
        <f t="shared" si="1"/>
        <v>6552</v>
      </c>
    </row>
    <row r="58" spans="1:7" x14ac:dyDescent="0.3">
      <c r="A58" s="2">
        <v>45493</v>
      </c>
      <c r="B58" s="1" t="s">
        <v>7</v>
      </c>
      <c r="C58" s="1" t="s">
        <v>14</v>
      </c>
      <c r="D58" s="1" t="s">
        <v>16</v>
      </c>
      <c r="E58" s="6">
        <v>16</v>
      </c>
      <c r="F58" s="8">
        <v>364</v>
      </c>
      <c r="G58" s="1">
        <f t="shared" si="1"/>
        <v>5824</v>
      </c>
    </row>
    <row r="59" spans="1:7" x14ac:dyDescent="0.3">
      <c r="A59" s="2">
        <v>45497</v>
      </c>
      <c r="B59" s="1" t="s">
        <v>7</v>
      </c>
      <c r="C59" s="1" t="s">
        <v>12</v>
      </c>
      <c r="D59" s="1" t="s">
        <v>19</v>
      </c>
      <c r="E59" s="6">
        <v>8</v>
      </c>
      <c r="F59" s="8">
        <v>289</v>
      </c>
      <c r="G59" s="1">
        <f t="shared" si="1"/>
        <v>2312</v>
      </c>
    </row>
    <row r="60" spans="1:7" x14ac:dyDescent="0.3">
      <c r="A60" s="2">
        <v>45465</v>
      </c>
      <c r="B60" s="1" t="s">
        <v>7</v>
      </c>
      <c r="C60" s="1" t="s">
        <v>13</v>
      </c>
      <c r="D60" s="1" t="s">
        <v>15</v>
      </c>
      <c r="E60" s="6">
        <v>14</v>
      </c>
      <c r="F60" s="8">
        <v>482</v>
      </c>
      <c r="G60" s="1">
        <f t="shared" si="1"/>
        <v>6748</v>
      </c>
    </row>
    <row r="61" spans="1:7" x14ac:dyDescent="0.3">
      <c r="A61" s="2">
        <v>45295</v>
      </c>
      <c r="B61" s="1" t="s">
        <v>7</v>
      </c>
      <c r="C61" s="1" t="s">
        <v>13</v>
      </c>
      <c r="D61" s="1" t="s">
        <v>15</v>
      </c>
      <c r="E61" s="6">
        <v>3</v>
      </c>
      <c r="F61" s="8">
        <v>743</v>
      </c>
      <c r="G61" s="1">
        <f t="shared" si="1"/>
        <v>2229</v>
      </c>
    </row>
    <row r="62" spans="1:7" x14ac:dyDescent="0.3">
      <c r="A62" s="2">
        <v>45312</v>
      </c>
      <c r="B62" s="1" t="s">
        <v>7</v>
      </c>
      <c r="C62" s="1" t="s">
        <v>14</v>
      </c>
      <c r="D62" s="1" t="s">
        <v>18</v>
      </c>
      <c r="E62" s="6">
        <v>11</v>
      </c>
      <c r="F62" s="8">
        <v>416</v>
      </c>
      <c r="G62" s="1">
        <f t="shared" si="1"/>
        <v>4576</v>
      </c>
    </row>
    <row r="63" spans="1:7" x14ac:dyDescent="0.3">
      <c r="A63" s="2">
        <v>45474</v>
      </c>
      <c r="B63" s="1" t="s">
        <v>7</v>
      </c>
      <c r="C63" s="1" t="s">
        <v>13</v>
      </c>
      <c r="D63" s="1" t="s">
        <v>16</v>
      </c>
      <c r="E63" s="6">
        <v>15</v>
      </c>
      <c r="F63" s="8">
        <v>803</v>
      </c>
      <c r="G63" s="1">
        <f t="shared" si="1"/>
        <v>12045</v>
      </c>
    </row>
    <row r="64" spans="1:7" x14ac:dyDescent="0.3">
      <c r="A64" s="2">
        <v>45336</v>
      </c>
      <c r="B64" s="1" t="s">
        <v>7</v>
      </c>
      <c r="C64" s="1" t="s">
        <v>11</v>
      </c>
      <c r="D64" s="1" t="s">
        <v>16</v>
      </c>
      <c r="E64" s="6">
        <v>13</v>
      </c>
      <c r="F64" s="8">
        <v>301</v>
      </c>
      <c r="G64" s="1">
        <f t="shared" si="1"/>
        <v>3913</v>
      </c>
    </row>
    <row r="65" spans="1:7" x14ac:dyDescent="0.3">
      <c r="A65" s="2">
        <v>45510</v>
      </c>
      <c r="B65" s="1" t="s">
        <v>7</v>
      </c>
      <c r="C65" s="1" t="s">
        <v>10</v>
      </c>
      <c r="D65" s="1" t="s">
        <v>16</v>
      </c>
      <c r="E65" s="6">
        <v>19</v>
      </c>
      <c r="F65" s="8">
        <v>500</v>
      </c>
      <c r="G65" s="1">
        <f t="shared" si="1"/>
        <v>9500</v>
      </c>
    </row>
    <row r="66" spans="1:7" x14ac:dyDescent="0.3">
      <c r="A66" s="2">
        <v>45621</v>
      </c>
      <c r="B66" s="1" t="s">
        <v>7</v>
      </c>
      <c r="C66" s="1" t="s">
        <v>12</v>
      </c>
      <c r="D66" s="1" t="s">
        <v>18</v>
      </c>
      <c r="E66" s="6">
        <v>15</v>
      </c>
      <c r="F66" s="8">
        <v>812</v>
      </c>
      <c r="G66" s="1">
        <f t="shared" ref="G66:G97" si="2">E66*F66</f>
        <v>12180</v>
      </c>
    </row>
    <row r="67" spans="1:7" x14ac:dyDescent="0.3">
      <c r="A67" s="2">
        <v>45470</v>
      </c>
      <c r="B67" s="1" t="s">
        <v>7</v>
      </c>
      <c r="C67" s="1" t="s">
        <v>10</v>
      </c>
      <c r="D67" s="1" t="s">
        <v>19</v>
      </c>
      <c r="E67" s="6">
        <v>1</v>
      </c>
      <c r="F67" s="8">
        <v>814</v>
      </c>
      <c r="G67" s="1">
        <f t="shared" si="2"/>
        <v>814</v>
      </c>
    </row>
    <row r="68" spans="1:7" x14ac:dyDescent="0.3">
      <c r="A68" s="2">
        <v>45456</v>
      </c>
      <c r="B68" s="1" t="s">
        <v>7</v>
      </c>
      <c r="C68" s="1" t="s">
        <v>11</v>
      </c>
      <c r="D68" s="1" t="s">
        <v>18</v>
      </c>
      <c r="E68" s="6">
        <v>16</v>
      </c>
      <c r="F68" s="8">
        <v>462</v>
      </c>
      <c r="G68" s="1">
        <f t="shared" si="2"/>
        <v>7392</v>
      </c>
    </row>
    <row r="69" spans="1:7" x14ac:dyDescent="0.3">
      <c r="A69" s="2">
        <v>45335</v>
      </c>
      <c r="B69" s="1" t="s">
        <v>7</v>
      </c>
      <c r="C69" s="1" t="s">
        <v>10</v>
      </c>
      <c r="D69" s="1" t="s">
        <v>15</v>
      </c>
      <c r="E69" s="6">
        <v>15</v>
      </c>
      <c r="F69" s="8">
        <v>952</v>
      </c>
      <c r="G69" s="1">
        <f t="shared" si="2"/>
        <v>14280</v>
      </c>
    </row>
    <row r="70" spans="1:7" x14ac:dyDescent="0.3">
      <c r="A70" s="2">
        <v>45569</v>
      </c>
      <c r="B70" s="1" t="s">
        <v>7</v>
      </c>
      <c r="C70" s="1" t="s">
        <v>13</v>
      </c>
      <c r="D70" s="1" t="s">
        <v>15</v>
      </c>
      <c r="E70" s="6">
        <v>15</v>
      </c>
      <c r="F70" s="8">
        <v>410</v>
      </c>
      <c r="G70" s="1">
        <f t="shared" si="2"/>
        <v>6150</v>
      </c>
    </row>
    <row r="71" spans="1:7" x14ac:dyDescent="0.3">
      <c r="A71" s="2">
        <v>45327</v>
      </c>
      <c r="B71" s="1" t="s">
        <v>7</v>
      </c>
      <c r="C71" s="1" t="s">
        <v>13</v>
      </c>
      <c r="D71" s="1" t="s">
        <v>15</v>
      </c>
      <c r="E71" s="6">
        <v>3</v>
      </c>
      <c r="F71" s="8">
        <v>537</v>
      </c>
      <c r="G71" s="1">
        <f t="shared" si="2"/>
        <v>1611</v>
      </c>
    </row>
    <row r="72" spans="1:7" x14ac:dyDescent="0.3">
      <c r="A72" s="2">
        <v>45592</v>
      </c>
      <c r="B72" s="1" t="s">
        <v>7</v>
      </c>
      <c r="C72" s="1" t="s">
        <v>13</v>
      </c>
      <c r="D72" s="1" t="s">
        <v>17</v>
      </c>
      <c r="E72" s="6">
        <v>20</v>
      </c>
      <c r="F72" s="8">
        <v>514</v>
      </c>
      <c r="G72" s="1">
        <f t="shared" si="2"/>
        <v>10280</v>
      </c>
    </row>
    <row r="73" spans="1:7" x14ac:dyDescent="0.3">
      <c r="A73" s="2">
        <v>45414</v>
      </c>
      <c r="B73" s="1" t="s">
        <v>7</v>
      </c>
      <c r="C73" s="1" t="s">
        <v>13</v>
      </c>
      <c r="D73" s="1" t="s">
        <v>19</v>
      </c>
      <c r="E73" s="6">
        <v>12</v>
      </c>
      <c r="F73" s="8">
        <v>335</v>
      </c>
      <c r="G73" s="1">
        <f t="shared" si="2"/>
        <v>4020</v>
      </c>
    </row>
    <row r="74" spans="1:7" x14ac:dyDescent="0.3">
      <c r="A74" s="2">
        <v>45591</v>
      </c>
      <c r="B74" s="1" t="s">
        <v>7</v>
      </c>
      <c r="C74" s="1" t="s">
        <v>11</v>
      </c>
      <c r="D74" s="1" t="s">
        <v>15</v>
      </c>
      <c r="E74" s="6">
        <v>15</v>
      </c>
      <c r="F74" s="8">
        <v>865</v>
      </c>
      <c r="G74" s="1">
        <f t="shared" si="2"/>
        <v>12975</v>
      </c>
    </row>
    <row r="75" spans="1:7" x14ac:dyDescent="0.3">
      <c r="A75" s="2">
        <v>45375</v>
      </c>
      <c r="B75" s="1" t="s">
        <v>7</v>
      </c>
      <c r="C75" s="1" t="s">
        <v>11</v>
      </c>
      <c r="D75" s="1" t="s">
        <v>15</v>
      </c>
      <c r="E75" s="6">
        <v>4</v>
      </c>
      <c r="F75" s="8">
        <v>387</v>
      </c>
      <c r="G75" s="1">
        <f t="shared" si="2"/>
        <v>1548</v>
      </c>
    </row>
    <row r="76" spans="1:7" x14ac:dyDescent="0.3">
      <c r="A76" s="2">
        <v>45599</v>
      </c>
      <c r="B76" s="1" t="s">
        <v>7</v>
      </c>
      <c r="C76" s="1" t="s">
        <v>12</v>
      </c>
      <c r="D76" s="1" t="s">
        <v>18</v>
      </c>
      <c r="E76" s="6">
        <v>2</v>
      </c>
      <c r="F76" s="8">
        <v>431</v>
      </c>
      <c r="G76" s="1">
        <f t="shared" si="2"/>
        <v>862</v>
      </c>
    </row>
    <row r="77" spans="1:7" x14ac:dyDescent="0.3">
      <c r="A77" s="2">
        <v>45413</v>
      </c>
      <c r="B77" s="1" t="s">
        <v>7</v>
      </c>
      <c r="C77" s="1" t="s">
        <v>14</v>
      </c>
      <c r="D77" s="1" t="s">
        <v>15</v>
      </c>
      <c r="E77" s="6">
        <v>9</v>
      </c>
      <c r="F77" s="8">
        <v>902</v>
      </c>
      <c r="G77" s="1">
        <f t="shared" si="2"/>
        <v>8118</v>
      </c>
    </row>
    <row r="78" spans="1:7" x14ac:dyDescent="0.3">
      <c r="A78" s="2">
        <v>45331</v>
      </c>
      <c r="B78" s="1" t="s">
        <v>7</v>
      </c>
      <c r="C78" s="1" t="s">
        <v>14</v>
      </c>
      <c r="D78" s="1" t="s">
        <v>15</v>
      </c>
      <c r="E78" s="6">
        <v>20</v>
      </c>
      <c r="F78" s="8">
        <v>425</v>
      </c>
      <c r="G78" s="1">
        <f t="shared" si="2"/>
        <v>8500</v>
      </c>
    </row>
    <row r="79" spans="1:7" x14ac:dyDescent="0.3">
      <c r="A79" s="2">
        <v>45465</v>
      </c>
      <c r="B79" s="1" t="s">
        <v>7</v>
      </c>
      <c r="C79" s="1" t="s">
        <v>12</v>
      </c>
      <c r="D79" s="1" t="s">
        <v>19</v>
      </c>
      <c r="E79" s="6">
        <v>17</v>
      </c>
      <c r="F79" s="8">
        <v>973</v>
      </c>
      <c r="G79" s="1">
        <f t="shared" si="2"/>
        <v>16541</v>
      </c>
    </row>
    <row r="80" spans="1:7" x14ac:dyDescent="0.3">
      <c r="A80" s="2">
        <v>45459</v>
      </c>
      <c r="B80" s="1" t="s">
        <v>7</v>
      </c>
      <c r="C80" s="1" t="s">
        <v>10</v>
      </c>
      <c r="D80" s="1" t="s">
        <v>19</v>
      </c>
      <c r="E80" s="6">
        <v>6</v>
      </c>
      <c r="F80" s="8">
        <v>346</v>
      </c>
      <c r="G80" s="1">
        <f t="shared" si="2"/>
        <v>2076</v>
      </c>
    </row>
    <row r="81" spans="1:7" x14ac:dyDescent="0.3">
      <c r="A81" s="2">
        <v>45380</v>
      </c>
      <c r="B81" s="1" t="s">
        <v>7</v>
      </c>
      <c r="C81" s="1" t="s">
        <v>10</v>
      </c>
      <c r="D81" s="1" t="s">
        <v>19</v>
      </c>
      <c r="E81" s="6">
        <v>19</v>
      </c>
      <c r="F81" s="8">
        <v>498</v>
      </c>
      <c r="G81" s="1">
        <f t="shared" si="2"/>
        <v>9462</v>
      </c>
    </row>
    <row r="82" spans="1:7" x14ac:dyDescent="0.3">
      <c r="A82" s="2">
        <v>45476</v>
      </c>
      <c r="B82" s="1" t="s">
        <v>7</v>
      </c>
      <c r="C82" s="1" t="s">
        <v>14</v>
      </c>
      <c r="D82" s="1" t="s">
        <v>17</v>
      </c>
      <c r="E82" s="6">
        <v>5</v>
      </c>
      <c r="F82" s="8">
        <v>329</v>
      </c>
      <c r="G82" s="1">
        <f t="shared" si="2"/>
        <v>1645</v>
      </c>
    </row>
    <row r="83" spans="1:7" x14ac:dyDescent="0.3">
      <c r="A83" s="2">
        <v>45405</v>
      </c>
      <c r="B83" s="1" t="s">
        <v>7</v>
      </c>
      <c r="C83" s="1" t="s">
        <v>14</v>
      </c>
      <c r="D83" s="1" t="s">
        <v>19</v>
      </c>
      <c r="E83" s="6">
        <v>13</v>
      </c>
      <c r="F83" s="8">
        <v>228</v>
      </c>
      <c r="G83" s="1">
        <f t="shared" si="2"/>
        <v>2964</v>
      </c>
    </row>
    <row r="84" spans="1:7" x14ac:dyDescent="0.3">
      <c r="A84" s="2">
        <v>45627</v>
      </c>
      <c r="B84" s="1" t="s">
        <v>7</v>
      </c>
      <c r="C84" s="1" t="s">
        <v>14</v>
      </c>
      <c r="D84" s="1" t="s">
        <v>15</v>
      </c>
      <c r="E84" s="6">
        <v>9</v>
      </c>
      <c r="F84" s="8">
        <v>945</v>
      </c>
      <c r="G84" s="1">
        <f t="shared" si="2"/>
        <v>8505</v>
      </c>
    </row>
    <row r="85" spans="1:7" x14ac:dyDescent="0.3">
      <c r="A85" s="2">
        <v>45622</v>
      </c>
      <c r="B85" s="1" t="s">
        <v>7</v>
      </c>
      <c r="C85" s="1" t="s">
        <v>14</v>
      </c>
      <c r="D85" s="1" t="s">
        <v>17</v>
      </c>
      <c r="E85" s="6">
        <v>20</v>
      </c>
      <c r="F85" s="8">
        <v>343</v>
      </c>
      <c r="G85" s="1">
        <f t="shared" si="2"/>
        <v>6860</v>
      </c>
    </row>
    <row r="86" spans="1:7" x14ac:dyDescent="0.3">
      <c r="A86" s="2">
        <v>45349</v>
      </c>
      <c r="B86" s="1" t="s">
        <v>7</v>
      </c>
      <c r="C86" s="1" t="s">
        <v>11</v>
      </c>
      <c r="D86" s="1" t="s">
        <v>17</v>
      </c>
      <c r="E86" s="6">
        <v>18</v>
      </c>
      <c r="F86" s="8">
        <v>926</v>
      </c>
      <c r="G86" s="1">
        <f t="shared" si="2"/>
        <v>16668</v>
      </c>
    </row>
    <row r="87" spans="1:7" x14ac:dyDescent="0.3">
      <c r="A87" s="2">
        <v>45413</v>
      </c>
      <c r="B87" s="1" t="s">
        <v>7</v>
      </c>
      <c r="C87" s="1" t="s">
        <v>13</v>
      </c>
      <c r="D87" s="1" t="s">
        <v>19</v>
      </c>
      <c r="E87" s="6">
        <v>7</v>
      </c>
      <c r="F87" s="8">
        <v>243</v>
      </c>
      <c r="G87" s="1">
        <f t="shared" si="2"/>
        <v>1701</v>
      </c>
    </row>
    <row r="88" spans="1:7" x14ac:dyDescent="0.3">
      <c r="A88" s="2">
        <v>45577</v>
      </c>
      <c r="B88" s="1" t="s">
        <v>7</v>
      </c>
      <c r="C88" s="1" t="s">
        <v>14</v>
      </c>
      <c r="D88" s="1" t="s">
        <v>18</v>
      </c>
      <c r="E88" s="6">
        <v>5</v>
      </c>
      <c r="F88" s="8">
        <v>295</v>
      </c>
      <c r="G88" s="1">
        <f t="shared" si="2"/>
        <v>1475</v>
      </c>
    </row>
    <row r="89" spans="1:7" x14ac:dyDescent="0.3">
      <c r="A89" s="2">
        <v>45483</v>
      </c>
      <c r="B89" s="1" t="s">
        <v>7</v>
      </c>
      <c r="C89" s="1" t="s">
        <v>10</v>
      </c>
      <c r="D89" s="1" t="s">
        <v>18</v>
      </c>
      <c r="E89" s="6">
        <v>20</v>
      </c>
      <c r="F89" s="8">
        <v>608</v>
      </c>
      <c r="G89" s="1">
        <f t="shared" si="2"/>
        <v>12160</v>
      </c>
    </row>
    <row r="90" spans="1:7" x14ac:dyDescent="0.3">
      <c r="A90" s="2">
        <v>45653</v>
      </c>
      <c r="B90" s="1" t="s">
        <v>7</v>
      </c>
      <c r="C90" s="1" t="s">
        <v>11</v>
      </c>
      <c r="D90" s="1" t="s">
        <v>17</v>
      </c>
      <c r="E90" s="6">
        <v>16</v>
      </c>
      <c r="F90" s="8">
        <v>819</v>
      </c>
      <c r="G90" s="1">
        <f t="shared" si="2"/>
        <v>13104</v>
      </c>
    </row>
    <row r="91" spans="1:7" x14ac:dyDescent="0.3">
      <c r="A91" s="2">
        <v>45314</v>
      </c>
      <c r="B91" s="1" t="s">
        <v>7</v>
      </c>
      <c r="C91" s="1" t="s">
        <v>14</v>
      </c>
      <c r="D91" s="1" t="s">
        <v>15</v>
      </c>
      <c r="E91" s="6">
        <v>2</v>
      </c>
      <c r="F91" s="8">
        <v>607</v>
      </c>
      <c r="G91" s="1">
        <f t="shared" si="2"/>
        <v>1214</v>
      </c>
    </row>
    <row r="92" spans="1:7" x14ac:dyDescent="0.3">
      <c r="A92" s="2">
        <v>45623</v>
      </c>
      <c r="B92" s="1" t="s">
        <v>7</v>
      </c>
      <c r="C92" s="1" t="s">
        <v>12</v>
      </c>
      <c r="D92" s="1" t="s">
        <v>17</v>
      </c>
      <c r="E92" s="6">
        <v>17</v>
      </c>
      <c r="F92" s="8">
        <v>632</v>
      </c>
      <c r="G92" s="1">
        <f t="shared" si="2"/>
        <v>10744</v>
      </c>
    </row>
    <row r="93" spans="1:7" x14ac:dyDescent="0.3">
      <c r="A93" s="2">
        <v>45305</v>
      </c>
      <c r="B93" s="1" t="s">
        <v>7</v>
      </c>
      <c r="C93" s="1" t="s">
        <v>11</v>
      </c>
      <c r="D93" s="1" t="s">
        <v>17</v>
      </c>
      <c r="E93" s="6">
        <v>1</v>
      </c>
      <c r="F93" s="8">
        <v>277</v>
      </c>
      <c r="G93" s="1">
        <f t="shared" si="2"/>
        <v>277</v>
      </c>
    </row>
    <row r="94" spans="1:7" x14ac:dyDescent="0.3">
      <c r="A94" s="2">
        <v>45346</v>
      </c>
      <c r="B94" s="1" t="s">
        <v>7</v>
      </c>
      <c r="C94" s="1" t="s">
        <v>13</v>
      </c>
      <c r="D94" s="1" t="s">
        <v>18</v>
      </c>
      <c r="E94" s="6">
        <v>2</v>
      </c>
      <c r="F94" s="8">
        <v>326</v>
      </c>
      <c r="G94" s="1">
        <f t="shared" si="2"/>
        <v>652</v>
      </c>
    </row>
    <row r="95" spans="1:7" x14ac:dyDescent="0.3">
      <c r="A95" s="2">
        <v>45328</v>
      </c>
      <c r="B95" s="1" t="s">
        <v>7</v>
      </c>
      <c r="C95" s="1" t="s">
        <v>14</v>
      </c>
      <c r="D95" s="1" t="s">
        <v>17</v>
      </c>
      <c r="E95" s="6">
        <v>17</v>
      </c>
      <c r="F95" s="8">
        <v>361</v>
      </c>
      <c r="G95" s="1">
        <f t="shared" si="2"/>
        <v>6137</v>
      </c>
    </row>
    <row r="96" spans="1:7" x14ac:dyDescent="0.3">
      <c r="A96" s="2">
        <v>45520</v>
      </c>
      <c r="B96" s="1" t="s">
        <v>7</v>
      </c>
      <c r="C96" s="1" t="s">
        <v>13</v>
      </c>
      <c r="D96" s="1" t="s">
        <v>19</v>
      </c>
      <c r="E96" s="6">
        <v>5</v>
      </c>
      <c r="F96" s="8">
        <v>985</v>
      </c>
      <c r="G96" s="1">
        <f t="shared" si="2"/>
        <v>4925</v>
      </c>
    </row>
    <row r="97" spans="1:7" x14ac:dyDescent="0.3">
      <c r="A97" s="2">
        <v>45634</v>
      </c>
      <c r="B97" s="1" t="s">
        <v>7</v>
      </c>
      <c r="C97" s="1" t="s">
        <v>10</v>
      </c>
      <c r="D97" s="1" t="s">
        <v>19</v>
      </c>
      <c r="E97" s="6">
        <v>12</v>
      </c>
      <c r="F97" s="8">
        <v>756</v>
      </c>
      <c r="G97" s="1">
        <f t="shared" si="2"/>
        <v>9072</v>
      </c>
    </row>
    <row r="98" spans="1:7" x14ac:dyDescent="0.3">
      <c r="A98" s="2">
        <v>45363</v>
      </c>
      <c r="B98" s="1" t="s">
        <v>7</v>
      </c>
      <c r="C98" s="1" t="s">
        <v>14</v>
      </c>
      <c r="D98" s="1" t="s">
        <v>18</v>
      </c>
      <c r="E98" s="6">
        <v>14</v>
      </c>
      <c r="F98" s="8">
        <v>289</v>
      </c>
      <c r="G98" s="1">
        <f t="shared" ref="G98:G129" si="3">E98*F98</f>
        <v>4046</v>
      </c>
    </row>
    <row r="99" spans="1:7" x14ac:dyDescent="0.3">
      <c r="A99" s="2">
        <v>45319</v>
      </c>
      <c r="B99" s="1" t="s">
        <v>7</v>
      </c>
      <c r="C99" s="1" t="s">
        <v>12</v>
      </c>
      <c r="D99" s="1" t="s">
        <v>19</v>
      </c>
      <c r="E99" s="6">
        <v>5</v>
      </c>
      <c r="F99" s="8">
        <v>983</v>
      </c>
      <c r="G99" s="1">
        <f t="shared" si="3"/>
        <v>4915</v>
      </c>
    </row>
    <row r="100" spans="1:7" x14ac:dyDescent="0.3">
      <c r="A100" s="2">
        <v>45651</v>
      </c>
      <c r="B100" s="1" t="s">
        <v>7</v>
      </c>
      <c r="C100" s="1" t="s">
        <v>14</v>
      </c>
      <c r="D100" s="1" t="s">
        <v>15</v>
      </c>
      <c r="E100" s="6">
        <v>1</v>
      </c>
      <c r="F100" s="8">
        <v>208</v>
      </c>
      <c r="G100" s="1">
        <f t="shared" si="3"/>
        <v>208</v>
      </c>
    </row>
    <row r="101" spans="1:7" x14ac:dyDescent="0.3">
      <c r="A101" s="2">
        <v>45381</v>
      </c>
      <c r="B101" s="1" t="s">
        <v>7</v>
      </c>
      <c r="C101" s="1" t="s">
        <v>11</v>
      </c>
      <c r="D101" s="1" t="s">
        <v>19</v>
      </c>
      <c r="E101" s="6">
        <v>15</v>
      </c>
      <c r="F101" s="8">
        <v>664</v>
      </c>
      <c r="G101" s="1">
        <f t="shared" si="3"/>
        <v>9960</v>
      </c>
    </row>
    <row r="102" spans="1:7" x14ac:dyDescent="0.3">
      <c r="A102" s="2">
        <v>45296</v>
      </c>
      <c r="B102" s="1" t="s">
        <v>7</v>
      </c>
      <c r="C102" s="1" t="s">
        <v>13</v>
      </c>
      <c r="D102" s="1" t="s">
        <v>18</v>
      </c>
      <c r="E102" s="6">
        <v>4</v>
      </c>
      <c r="F102" s="8">
        <v>682</v>
      </c>
      <c r="G102" s="1">
        <f t="shared" si="3"/>
        <v>2728</v>
      </c>
    </row>
    <row r="103" spans="1:7" x14ac:dyDescent="0.3">
      <c r="A103" s="2">
        <v>45398</v>
      </c>
      <c r="B103" s="1" t="s">
        <v>7</v>
      </c>
      <c r="C103" s="1" t="s">
        <v>11</v>
      </c>
      <c r="D103" s="1" t="s">
        <v>19</v>
      </c>
      <c r="E103" s="6">
        <v>15</v>
      </c>
      <c r="F103" s="8">
        <v>891</v>
      </c>
      <c r="G103" s="1">
        <f t="shared" si="3"/>
        <v>13365</v>
      </c>
    </row>
    <row r="104" spans="1:7" x14ac:dyDescent="0.3">
      <c r="A104" s="2">
        <v>45380</v>
      </c>
      <c r="B104" s="1" t="s">
        <v>7</v>
      </c>
      <c r="C104" s="1" t="s">
        <v>10</v>
      </c>
      <c r="D104" s="1" t="s">
        <v>16</v>
      </c>
      <c r="E104" s="6">
        <v>1</v>
      </c>
      <c r="F104" s="8">
        <v>166</v>
      </c>
      <c r="G104" s="1">
        <f t="shared" si="3"/>
        <v>166</v>
      </c>
    </row>
    <row r="105" spans="1:7" x14ac:dyDescent="0.3">
      <c r="A105" s="2">
        <v>45616</v>
      </c>
      <c r="B105" s="1" t="s">
        <v>7</v>
      </c>
      <c r="C105" s="1" t="s">
        <v>11</v>
      </c>
      <c r="D105" s="1" t="s">
        <v>16</v>
      </c>
      <c r="E105" s="6">
        <v>14</v>
      </c>
      <c r="F105" s="8">
        <v>841</v>
      </c>
      <c r="G105" s="1">
        <f t="shared" si="3"/>
        <v>11774</v>
      </c>
    </row>
    <row r="106" spans="1:7" x14ac:dyDescent="0.3">
      <c r="A106" s="2">
        <v>45510</v>
      </c>
      <c r="B106" s="1" t="s">
        <v>6</v>
      </c>
      <c r="C106" s="1" t="s">
        <v>10</v>
      </c>
      <c r="D106" s="1" t="s">
        <v>15</v>
      </c>
      <c r="E106" s="6">
        <v>16</v>
      </c>
      <c r="F106" s="8">
        <v>466</v>
      </c>
      <c r="G106" s="1">
        <f t="shared" si="3"/>
        <v>7456</v>
      </c>
    </row>
    <row r="107" spans="1:7" x14ac:dyDescent="0.3">
      <c r="A107" s="2">
        <v>45447</v>
      </c>
      <c r="B107" s="1" t="s">
        <v>6</v>
      </c>
      <c r="C107" s="1" t="s">
        <v>10</v>
      </c>
      <c r="D107" s="1" t="s">
        <v>15</v>
      </c>
      <c r="E107" s="6">
        <v>16</v>
      </c>
      <c r="F107" s="8">
        <v>688</v>
      </c>
      <c r="G107" s="1">
        <f t="shared" si="3"/>
        <v>11008</v>
      </c>
    </row>
    <row r="108" spans="1:7" x14ac:dyDescent="0.3">
      <c r="A108" s="2">
        <v>45609</v>
      </c>
      <c r="B108" s="1" t="s">
        <v>6</v>
      </c>
      <c r="C108" s="1" t="s">
        <v>11</v>
      </c>
      <c r="D108" s="1" t="s">
        <v>15</v>
      </c>
      <c r="E108" s="6">
        <v>3</v>
      </c>
      <c r="F108" s="8">
        <v>372</v>
      </c>
      <c r="G108" s="1">
        <f t="shared" si="3"/>
        <v>1116</v>
      </c>
    </row>
    <row r="109" spans="1:7" x14ac:dyDescent="0.3">
      <c r="A109" s="2">
        <v>45359</v>
      </c>
      <c r="B109" s="1" t="s">
        <v>6</v>
      </c>
      <c r="C109" s="1" t="s">
        <v>11</v>
      </c>
      <c r="D109" s="1" t="s">
        <v>18</v>
      </c>
      <c r="E109" s="6">
        <v>6</v>
      </c>
      <c r="F109" s="8">
        <v>524</v>
      </c>
      <c r="G109" s="1">
        <f t="shared" si="3"/>
        <v>3144</v>
      </c>
    </row>
    <row r="110" spans="1:7" x14ac:dyDescent="0.3">
      <c r="A110" s="2">
        <v>45557</v>
      </c>
      <c r="B110" s="1" t="s">
        <v>6</v>
      </c>
      <c r="C110" s="1" t="s">
        <v>11</v>
      </c>
      <c r="D110" s="1" t="s">
        <v>18</v>
      </c>
      <c r="E110" s="6">
        <v>16</v>
      </c>
      <c r="F110" s="8">
        <v>926</v>
      </c>
      <c r="G110" s="1">
        <f t="shared" si="3"/>
        <v>14816</v>
      </c>
    </row>
    <row r="111" spans="1:7" x14ac:dyDescent="0.3">
      <c r="A111" s="2">
        <v>45591</v>
      </c>
      <c r="B111" s="1" t="s">
        <v>6</v>
      </c>
      <c r="C111" s="1" t="s">
        <v>11</v>
      </c>
      <c r="D111" s="1" t="s">
        <v>16</v>
      </c>
      <c r="E111" s="6">
        <v>14</v>
      </c>
      <c r="F111" s="8">
        <v>580</v>
      </c>
      <c r="G111" s="1">
        <f t="shared" si="3"/>
        <v>8120</v>
      </c>
    </row>
    <row r="112" spans="1:7" x14ac:dyDescent="0.3">
      <c r="A112" s="2">
        <v>45543</v>
      </c>
      <c r="B112" s="1" t="s">
        <v>6</v>
      </c>
      <c r="C112" s="1" t="s">
        <v>12</v>
      </c>
      <c r="D112" s="1" t="s">
        <v>15</v>
      </c>
      <c r="E112" s="6">
        <v>5</v>
      </c>
      <c r="F112" s="8">
        <v>270</v>
      </c>
      <c r="G112" s="1">
        <f t="shared" si="3"/>
        <v>1350</v>
      </c>
    </row>
    <row r="113" spans="1:7" x14ac:dyDescent="0.3">
      <c r="A113" s="2">
        <v>45525</v>
      </c>
      <c r="B113" s="1" t="s">
        <v>6</v>
      </c>
      <c r="C113" s="1" t="s">
        <v>11</v>
      </c>
      <c r="D113" s="1" t="s">
        <v>16</v>
      </c>
      <c r="E113" s="6">
        <v>14</v>
      </c>
      <c r="F113" s="8">
        <v>582</v>
      </c>
      <c r="G113" s="1">
        <f t="shared" si="3"/>
        <v>8148</v>
      </c>
    </row>
    <row r="114" spans="1:7" x14ac:dyDescent="0.3">
      <c r="A114" s="2">
        <v>45610</v>
      </c>
      <c r="B114" s="1" t="s">
        <v>6</v>
      </c>
      <c r="C114" s="1" t="s">
        <v>14</v>
      </c>
      <c r="D114" s="1" t="s">
        <v>19</v>
      </c>
      <c r="E114" s="6">
        <v>11</v>
      </c>
      <c r="F114" s="8">
        <v>914</v>
      </c>
      <c r="G114" s="1">
        <f t="shared" si="3"/>
        <v>10054</v>
      </c>
    </row>
    <row r="115" spans="1:7" x14ac:dyDescent="0.3">
      <c r="A115" s="2">
        <v>45623</v>
      </c>
      <c r="B115" s="1" t="s">
        <v>6</v>
      </c>
      <c r="C115" s="1" t="s">
        <v>11</v>
      </c>
      <c r="D115" s="1" t="s">
        <v>16</v>
      </c>
      <c r="E115" s="6">
        <v>8</v>
      </c>
      <c r="F115" s="8">
        <v>458</v>
      </c>
      <c r="G115" s="1">
        <f t="shared" si="3"/>
        <v>3664</v>
      </c>
    </row>
    <row r="116" spans="1:7" x14ac:dyDescent="0.3">
      <c r="A116" s="2">
        <v>45506</v>
      </c>
      <c r="B116" s="1" t="s">
        <v>6</v>
      </c>
      <c r="C116" s="1" t="s">
        <v>11</v>
      </c>
      <c r="D116" s="1" t="s">
        <v>16</v>
      </c>
      <c r="E116" s="6">
        <v>13</v>
      </c>
      <c r="F116" s="8">
        <v>997</v>
      </c>
      <c r="G116" s="1">
        <f t="shared" si="3"/>
        <v>12961</v>
      </c>
    </row>
    <row r="117" spans="1:7" x14ac:dyDescent="0.3">
      <c r="A117" s="2">
        <v>45358</v>
      </c>
      <c r="B117" s="1" t="s">
        <v>6</v>
      </c>
      <c r="C117" s="1" t="s">
        <v>11</v>
      </c>
      <c r="D117" s="1" t="s">
        <v>19</v>
      </c>
      <c r="E117" s="6">
        <v>19</v>
      </c>
      <c r="F117" s="8">
        <v>488</v>
      </c>
      <c r="G117" s="1">
        <f t="shared" si="3"/>
        <v>9272</v>
      </c>
    </row>
    <row r="118" spans="1:7" x14ac:dyDescent="0.3">
      <c r="A118" s="2">
        <v>45333</v>
      </c>
      <c r="B118" s="1" t="s">
        <v>6</v>
      </c>
      <c r="C118" s="1" t="s">
        <v>11</v>
      </c>
      <c r="D118" s="1" t="s">
        <v>17</v>
      </c>
      <c r="E118" s="6">
        <v>1</v>
      </c>
      <c r="F118" s="8">
        <v>923</v>
      </c>
      <c r="G118" s="1">
        <f t="shared" si="3"/>
        <v>923</v>
      </c>
    </row>
    <row r="119" spans="1:7" x14ac:dyDescent="0.3">
      <c r="A119" s="2">
        <v>45365</v>
      </c>
      <c r="B119" s="1" t="s">
        <v>6</v>
      </c>
      <c r="C119" s="1" t="s">
        <v>11</v>
      </c>
      <c r="D119" s="1" t="s">
        <v>19</v>
      </c>
      <c r="E119" s="6">
        <v>4</v>
      </c>
      <c r="F119" s="8">
        <v>515</v>
      </c>
      <c r="G119" s="1">
        <f t="shared" si="3"/>
        <v>2060</v>
      </c>
    </row>
    <row r="120" spans="1:7" x14ac:dyDescent="0.3">
      <c r="A120" s="2">
        <v>45481</v>
      </c>
      <c r="B120" s="1" t="s">
        <v>6</v>
      </c>
      <c r="C120" s="1" t="s">
        <v>11</v>
      </c>
      <c r="D120" s="1" t="s">
        <v>16</v>
      </c>
      <c r="E120" s="6">
        <v>8</v>
      </c>
      <c r="F120" s="8">
        <v>572</v>
      </c>
      <c r="G120" s="1">
        <f t="shared" si="3"/>
        <v>4576</v>
      </c>
    </row>
    <row r="121" spans="1:7" x14ac:dyDescent="0.3">
      <c r="A121" s="2">
        <v>45426</v>
      </c>
      <c r="B121" s="1" t="s">
        <v>6</v>
      </c>
      <c r="C121" s="1" t="s">
        <v>10</v>
      </c>
      <c r="D121" s="1" t="s">
        <v>16</v>
      </c>
      <c r="E121" s="6">
        <v>6</v>
      </c>
      <c r="F121" s="8">
        <v>717</v>
      </c>
      <c r="G121" s="1">
        <f t="shared" si="3"/>
        <v>4302</v>
      </c>
    </row>
    <row r="122" spans="1:7" x14ac:dyDescent="0.3">
      <c r="A122" s="2">
        <v>45566</v>
      </c>
      <c r="B122" s="1" t="s">
        <v>6</v>
      </c>
      <c r="C122" s="1" t="s">
        <v>12</v>
      </c>
      <c r="D122" s="1" t="s">
        <v>18</v>
      </c>
      <c r="E122" s="6">
        <v>2</v>
      </c>
      <c r="F122" s="8">
        <v>707</v>
      </c>
      <c r="G122" s="1">
        <f t="shared" si="3"/>
        <v>1414</v>
      </c>
    </row>
    <row r="123" spans="1:7" x14ac:dyDescent="0.3">
      <c r="A123" s="2">
        <v>45584</v>
      </c>
      <c r="B123" s="1" t="s">
        <v>6</v>
      </c>
      <c r="C123" s="1" t="s">
        <v>11</v>
      </c>
      <c r="D123" s="1" t="s">
        <v>19</v>
      </c>
      <c r="E123" s="6">
        <v>11</v>
      </c>
      <c r="F123" s="8">
        <v>380</v>
      </c>
      <c r="G123" s="1">
        <f t="shared" si="3"/>
        <v>4180</v>
      </c>
    </row>
    <row r="124" spans="1:7" x14ac:dyDescent="0.3">
      <c r="A124" s="2">
        <v>45308</v>
      </c>
      <c r="B124" s="1" t="s">
        <v>6</v>
      </c>
      <c r="C124" s="1" t="s">
        <v>11</v>
      </c>
      <c r="D124" s="1" t="s">
        <v>19</v>
      </c>
      <c r="E124" s="6">
        <v>11</v>
      </c>
      <c r="F124" s="8">
        <v>553</v>
      </c>
      <c r="G124" s="1">
        <f t="shared" si="3"/>
        <v>6083</v>
      </c>
    </row>
    <row r="125" spans="1:7" x14ac:dyDescent="0.3">
      <c r="A125" s="2">
        <v>45602</v>
      </c>
      <c r="B125" s="1" t="s">
        <v>6</v>
      </c>
      <c r="C125" s="1" t="s">
        <v>13</v>
      </c>
      <c r="D125" s="1" t="s">
        <v>16</v>
      </c>
      <c r="E125" s="6">
        <v>19</v>
      </c>
      <c r="F125" s="8">
        <v>578</v>
      </c>
      <c r="G125" s="1">
        <f t="shared" si="3"/>
        <v>10982</v>
      </c>
    </row>
    <row r="126" spans="1:7" x14ac:dyDescent="0.3">
      <c r="A126" s="2">
        <v>45309</v>
      </c>
      <c r="B126" s="1" t="s">
        <v>6</v>
      </c>
      <c r="C126" s="1" t="s">
        <v>12</v>
      </c>
      <c r="D126" s="1" t="s">
        <v>19</v>
      </c>
      <c r="E126" s="6">
        <v>11</v>
      </c>
      <c r="F126" s="8">
        <v>983</v>
      </c>
      <c r="G126" s="1">
        <f t="shared" si="3"/>
        <v>10813</v>
      </c>
    </row>
    <row r="127" spans="1:7" x14ac:dyDescent="0.3">
      <c r="A127" s="2">
        <v>45404</v>
      </c>
      <c r="B127" s="1" t="s">
        <v>6</v>
      </c>
      <c r="C127" s="1" t="s">
        <v>10</v>
      </c>
      <c r="D127" s="1" t="s">
        <v>15</v>
      </c>
      <c r="E127" s="6">
        <v>8</v>
      </c>
      <c r="F127" s="8">
        <v>303</v>
      </c>
      <c r="G127" s="1">
        <f t="shared" si="3"/>
        <v>2424</v>
      </c>
    </row>
    <row r="128" spans="1:7" x14ac:dyDescent="0.3">
      <c r="A128" s="2">
        <v>45564</v>
      </c>
      <c r="B128" s="1" t="s">
        <v>6</v>
      </c>
      <c r="C128" s="1" t="s">
        <v>14</v>
      </c>
      <c r="D128" s="1" t="s">
        <v>17</v>
      </c>
      <c r="E128" s="6">
        <v>11</v>
      </c>
      <c r="F128" s="8">
        <v>681</v>
      </c>
      <c r="G128" s="1">
        <f t="shared" si="3"/>
        <v>7491</v>
      </c>
    </row>
    <row r="129" spans="1:7" x14ac:dyDescent="0.3">
      <c r="A129" s="2">
        <v>45558</v>
      </c>
      <c r="B129" s="1" t="s">
        <v>6</v>
      </c>
      <c r="C129" s="1" t="s">
        <v>11</v>
      </c>
      <c r="D129" s="1" t="s">
        <v>17</v>
      </c>
      <c r="E129" s="6">
        <v>18</v>
      </c>
      <c r="F129" s="8">
        <v>317</v>
      </c>
      <c r="G129" s="1">
        <f t="shared" si="3"/>
        <v>5706</v>
      </c>
    </row>
    <row r="130" spans="1:7" x14ac:dyDescent="0.3">
      <c r="A130" s="2">
        <v>45494</v>
      </c>
      <c r="B130" s="1" t="s">
        <v>6</v>
      </c>
      <c r="C130" s="1" t="s">
        <v>14</v>
      </c>
      <c r="D130" s="1" t="s">
        <v>19</v>
      </c>
      <c r="E130" s="6">
        <v>1</v>
      </c>
      <c r="F130" s="8">
        <v>802</v>
      </c>
      <c r="G130" s="1">
        <f t="shared" ref="G130:G161" si="4">E130*F130</f>
        <v>802</v>
      </c>
    </row>
    <row r="131" spans="1:7" x14ac:dyDescent="0.3">
      <c r="A131" s="2">
        <v>45483</v>
      </c>
      <c r="B131" s="1" t="s">
        <v>6</v>
      </c>
      <c r="C131" s="1" t="s">
        <v>12</v>
      </c>
      <c r="D131" s="1" t="s">
        <v>15</v>
      </c>
      <c r="E131" s="6">
        <v>14</v>
      </c>
      <c r="F131" s="8">
        <v>617</v>
      </c>
      <c r="G131" s="1">
        <f t="shared" si="4"/>
        <v>8638</v>
      </c>
    </row>
    <row r="132" spans="1:7" x14ac:dyDescent="0.3">
      <c r="A132" s="2">
        <v>45391</v>
      </c>
      <c r="B132" s="1" t="s">
        <v>6</v>
      </c>
      <c r="C132" s="1" t="s">
        <v>12</v>
      </c>
      <c r="D132" s="1" t="s">
        <v>16</v>
      </c>
      <c r="E132" s="6">
        <v>13</v>
      </c>
      <c r="F132" s="8">
        <v>820</v>
      </c>
      <c r="G132" s="1">
        <f t="shared" si="4"/>
        <v>10660</v>
      </c>
    </row>
    <row r="133" spans="1:7" x14ac:dyDescent="0.3">
      <c r="A133" s="2">
        <v>45650</v>
      </c>
      <c r="B133" s="1" t="s">
        <v>6</v>
      </c>
      <c r="C133" s="1" t="s">
        <v>14</v>
      </c>
      <c r="D133" s="1" t="s">
        <v>17</v>
      </c>
      <c r="E133" s="6">
        <v>5</v>
      </c>
      <c r="F133" s="8">
        <v>520</v>
      </c>
      <c r="G133" s="1">
        <f t="shared" si="4"/>
        <v>2600</v>
      </c>
    </row>
    <row r="134" spans="1:7" x14ac:dyDescent="0.3">
      <c r="A134" s="2">
        <v>45456</v>
      </c>
      <c r="B134" s="1" t="s">
        <v>6</v>
      </c>
      <c r="C134" s="1" t="s">
        <v>13</v>
      </c>
      <c r="D134" s="1" t="s">
        <v>15</v>
      </c>
      <c r="E134" s="6">
        <v>17</v>
      </c>
      <c r="F134" s="8">
        <v>217</v>
      </c>
      <c r="G134" s="1">
        <f t="shared" si="4"/>
        <v>3689</v>
      </c>
    </row>
    <row r="135" spans="1:7" x14ac:dyDescent="0.3">
      <c r="A135" s="2">
        <v>45542</v>
      </c>
      <c r="B135" s="1" t="s">
        <v>6</v>
      </c>
      <c r="C135" s="1" t="s">
        <v>10</v>
      </c>
      <c r="D135" s="1" t="s">
        <v>17</v>
      </c>
      <c r="E135" s="6">
        <v>14</v>
      </c>
      <c r="F135" s="8">
        <v>159</v>
      </c>
      <c r="G135" s="1">
        <f t="shared" si="4"/>
        <v>2226</v>
      </c>
    </row>
    <row r="136" spans="1:7" x14ac:dyDescent="0.3">
      <c r="A136" s="2">
        <v>45335</v>
      </c>
      <c r="B136" s="1" t="s">
        <v>6</v>
      </c>
      <c r="C136" s="1" t="s">
        <v>10</v>
      </c>
      <c r="D136" s="1" t="s">
        <v>17</v>
      </c>
      <c r="E136" s="6">
        <v>20</v>
      </c>
      <c r="F136" s="8">
        <v>546</v>
      </c>
      <c r="G136" s="1">
        <f t="shared" si="4"/>
        <v>10920</v>
      </c>
    </row>
    <row r="137" spans="1:7" x14ac:dyDescent="0.3">
      <c r="A137" s="2">
        <v>45528</v>
      </c>
      <c r="B137" s="1" t="s">
        <v>6</v>
      </c>
      <c r="C137" s="1" t="s">
        <v>13</v>
      </c>
      <c r="D137" s="1" t="s">
        <v>19</v>
      </c>
      <c r="E137" s="6">
        <v>6</v>
      </c>
      <c r="F137" s="8">
        <v>197</v>
      </c>
      <c r="G137" s="1">
        <f t="shared" si="4"/>
        <v>1182</v>
      </c>
    </row>
    <row r="138" spans="1:7" x14ac:dyDescent="0.3">
      <c r="A138" s="2">
        <v>45317</v>
      </c>
      <c r="B138" s="1" t="s">
        <v>6</v>
      </c>
      <c r="C138" s="1" t="s">
        <v>12</v>
      </c>
      <c r="D138" s="1" t="s">
        <v>15</v>
      </c>
      <c r="E138" s="6">
        <v>8</v>
      </c>
      <c r="F138" s="8">
        <v>629</v>
      </c>
      <c r="G138" s="1">
        <f t="shared" si="4"/>
        <v>5032</v>
      </c>
    </row>
    <row r="139" spans="1:7" x14ac:dyDescent="0.3">
      <c r="A139" s="2">
        <v>45297</v>
      </c>
      <c r="B139" s="1" t="s">
        <v>6</v>
      </c>
      <c r="C139" s="1" t="s">
        <v>14</v>
      </c>
      <c r="D139" s="1" t="s">
        <v>19</v>
      </c>
      <c r="E139" s="6">
        <v>9</v>
      </c>
      <c r="F139" s="8">
        <v>588</v>
      </c>
      <c r="G139" s="1">
        <f t="shared" si="4"/>
        <v>5292</v>
      </c>
    </row>
    <row r="140" spans="1:7" x14ac:dyDescent="0.3">
      <c r="A140" s="2">
        <v>45544</v>
      </c>
      <c r="B140" s="1" t="s">
        <v>6</v>
      </c>
      <c r="C140" s="1" t="s">
        <v>12</v>
      </c>
      <c r="D140" s="1" t="s">
        <v>17</v>
      </c>
      <c r="E140" s="6">
        <v>10</v>
      </c>
      <c r="F140" s="8">
        <v>777</v>
      </c>
      <c r="G140" s="1">
        <f t="shared" si="4"/>
        <v>7770</v>
      </c>
    </row>
    <row r="141" spans="1:7" x14ac:dyDescent="0.3">
      <c r="A141" s="2">
        <v>45333</v>
      </c>
      <c r="B141" s="1" t="s">
        <v>6</v>
      </c>
      <c r="C141" s="1" t="s">
        <v>14</v>
      </c>
      <c r="D141" s="1" t="s">
        <v>17</v>
      </c>
      <c r="E141" s="6">
        <v>17</v>
      </c>
      <c r="F141" s="8">
        <v>381</v>
      </c>
      <c r="G141" s="1">
        <f t="shared" si="4"/>
        <v>6477</v>
      </c>
    </row>
    <row r="142" spans="1:7" x14ac:dyDescent="0.3">
      <c r="A142" s="2">
        <v>45594</v>
      </c>
      <c r="B142" s="1" t="s">
        <v>6</v>
      </c>
      <c r="C142" s="1" t="s">
        <v>11</v>
      </c>
      <c r="D142" s="1" t="s">
        <v>15</v>
      </c>
      <c r="E142" s="6">
        <v>3</v>
      </c>
      <c r="F142" s="8">
        <v>782</v>
      </c>
      <c r="G142" s="1">
        <f t="shared" si="4"/>
        <v>2346</v>
      </c>
    </row>
    <row r="143" spans="1:7" x14ac:dyDescent="0.3">
      <c r="A143" s="2">
        <v>45380</v>
      </c>
      <c r="B143" s="1" t="s">
        <v>6</v>
      </c>
      <c r="C143" s="1" t="s">
        <v>13</v>
      </c>
      <c r="D143" s="1" t="s">
        <v>18</v>
      </c>
      <c r="E143" s="6">
        <v>3</v>
      </c>
      <c r="F143" s="8">
        <v>526</v>
      </c>
      <c r="G143" s="1">
        <f t="shared" si="4"/>
        <v>1578</v>
      </c>
    </row>
    <row r="144" spans="1:7" x14ac:dyDescent="0.3">
      <c r="A144" s="2">
        <v>45622</v>
      </c>
      <c r="B144" s="1" t="s">
        <v>6</v>
      </c>
      <c r="C144" s="1" t="s">
        <v>12</v>
      </c>
      <c r="D144" s="1" t="s">
        <v>19</v>
      </c>
      <c r="E144" s="6">
        <v>8</v>
      </c>
      <c r="F144" s="8">
        <v>876</v>
      </c>
      <c r="G144" s="1">
        <f t="shared" si="4"/>
        <v>7008</v>
      </c>
    </row>
    <row r="145" spans="1:7" x14ac:dyDescent="0.3">
      <c r="A145" s="2">
        <v>45476</v>
      </c>
      <c r="B145" s="1" t="s">
        <v>6</v>
      </c>
      <c r="C145" s="1" t="s">
        <v>10</v>
      </c>
      <c r="D145" s="1" t="s">
        <v>17</v>
      </c>
      <c r="E145" s="6">
        <v>12</v>
      </c>
      <c r="F145" s="8">
        <v>928</v>
      </c>
      <c r="G145" s="1">
        <f t="shared" si="4"/>
        <v>11136</v>
      </c>
    </row>
    <row r="146" spans="1:7" x14ac:dyDescent="0.3">
      <c r="A146" s="2">
        <v>45634</v>
      </c>
      <c r="B146" s="1" t="s">
        <v>6</v>
      </c>
      <c r="C146" s="1" t="s">
        <v>13</v>
      </c>
      <c r="D146" s="1" t="s">
        <v>17</v>
      </c>
      <c r="E146" s="6">
        <v>2</v>
      </c>
      <c r="F146" s="8">
        <v>167</v>
      </c>
      <c r="G146" s="1">
        <f t="shared" si="4"/>
        <v>334</v>
      </c>
    </row>
    <row r="147" spans="1:7" x14ac:dyDescent="0.3">
      <c r="A147" s="2">
        <v>45577</v>
      </c>
      <c r="B147" s="1" t="s">
        <v>6</v>
      </c>
      <c r="C147" s="1" t="s">
        <v>11</v>
      </c>
      <c r="D147" s="1" t="s">
        <v>18</v>
      </c>
      <c r="E147" s="6">
        <v>8</v>
      </c>
      <c r="F147" s="8">
        <v>655</v>
      </c>
      <c r="G147" s="1">
        <f t="shared" si="4"/>
        <v>5240</v>
      </c>
    </row>
    <row r="148" spans="1:7" x14ac:dyDescent="0.3">
      <c r="A148" s="2">
        <v>45539</v>
      </c>
      <c r="B148" s="1" t="s">
        <v>6</v>
      </c>
      <c r="C148" s="1" t="s">
        <v>11</v>
      </c>
      <c r="D148" s="1" t="s">
        <v>17</v>
      </c>
      <c r="E148" s="6">
        <v>6</v>
      </c>
      <c r="F148" s="8">
        <v>170</v>
      </c>
      <c r="G148" s="1">
        <f t="shared" si="4"/>
        <v>1020</v>
      </c>
    </row>
    <row r="149" spans="1:7" x14ac:dyDescent="0.3">
      <c r="A149" s="2">
        <v>45559</v>
      </c>
      <c r="B149" s="1" t="s">
        <v>6</v>
      </c>
      <c r="C149" s="1" t="s">
        <v>11</v>
      </c>
      <c r="D149" s="1" t="s">
        <v>17</v>
      </c>
      <c r="E149" s="6">
        <v>16</v>
      </c>
      <c r="F149" s="8">
        <v>790</v>
      </c>
      <c r="G149" s="1">
        <f t="shared" si="4"/>
        <v>12640</v>
      </c>
    </row>
    <row r="150" spans="1:7" x14ac:dyDescent="0.3">
      <c r="A150" s="2">
        <v>45600</v>
      </c>
      <c r="B150" s="1" t="s">
        <v>6</v>
      </c>
      <c r="C150" s="1" t="s">
        <v>11</v>
      </c>
      <c r="D150" s="1" t="s">
        <v>15</v>
      </c>
      <c r="E150" s="6">
        <v>15</v>
      </c>
      <c r="F150" s="8">
        <v>545</v>
      </c>
      <c r="G150" s="1">
        <f t="shared" si="4"/>
        <v>8175</v>
      </c>
    </row>
    <row r="151" spans="1:7" x14ac:dyDescent="0.3">
      <c r="A151" s="2">
        <v>45297</v>
      </c>
      <c r="B151" s="1" t="s">
        <v>6</v>
      </c>
      <c r="C151" s="1" t="s">
        <v>12</v>
      </c>
      <c r="D151" s="1" t="s">
        <v>16</v>
      </c>
      <c r="E151" s="6">
        <v>8</v>
      </c>
      <c r="F151" s="8">
        <v>220</v>
      </c>
      <c r="G151" s="1">
        <f t="shared" si="4"/>
        <v>1760</v>
      </c>
    </row>
    <row r="152" spans="1:7" x14ac:dyDescent="0.3">
      <c r="A152" s="2">
        <v>45427</v>
      </c>
      <c r="B152" s="1" t="s">
        <v>6</v>
      </c>
      <c r="C152" s="1" t="s">
        <v>14</v>
      </c>
      <c r="D152" s="1" t="s">
        <v>19</v>
      </c>
      <c r="E152" s="6">
        <v>14</v>
      </c>
      <c r="F152" s="8">
        <v>563</v>
      </c>
      <c r="G152" s="1">
        <f t="shared" si="4"/>
        <v>7882</v>
      </c>
    </row>
    <row r="153" spans="1:7" x14ac:dyDescent="0.3">
      <c r="A153" s="2">
        <v>45454</v>
      </c>
      <c r="B153" s="1" t="s">
        <v>6</v>
      </c>
      <c r="C153" s="1" t="s">
        <v>10</v>
      </c>
      <c r="D153" s="1" t="s">
        <v>18</v>
      </c>
      <c r="E153" s="6">
        <v>10</v>
      </c>
      <c r="F153" s="8">
        <v>899</v>
      </c>
      <c r="G153" s="1">
        <f t="shared" si="4"/>
        <v>8990</v>
      </c>
    </row>
    <row r="154" spans="1:7" x14ac:dyDescent="0.3">
      <c r="A154" s="2">
        <v>45607</v>
      </c>
      <c r="B154" s="1" t="s">
        <v>6</v>
      </c>
      <c r="C154" s="1" t="s">
        <v>12</v>
      </c>
      <c r="D154" s="1" t="s">
        <v>16</v>
      </c>
      <c r="E154" s="6">
        <v>20</v>
      </c>
      <c r="F154" s="8">
        <v>638</v>
      </c>
      <c r="G154" s="1">
        <f t="shared" si="4"/>
        <v>12760</v>
      </c>
    </row>
    <row r="155" spans="1:7" x14ac:dyDescent="0.3">
      <c r="A155" s="2">
        <v>45521</v>
      </c>
      <c r="B155" s="1" t="s">
        <v>6</v>
      </c>
      <c r="C155" s="1" t="s">
        <v>11</v>
      </c>
      <c r="D155" s="1" t="s">
        <v>19</v>
      </c>
      <c r="E155" s="6">
        <v>18</v>
      </c>
      <c r="F155" s="8">
        <v>154</v>
      </c>
      <c r="G155" s="1">
        <f t="shared" si="4"/>
        <v>2772</v>
      </c>
    </row>
    <row r="156" spans="1:7" x14ac:dyDescent="0.3">
      <c r="A156" s="2">
        <v>45298</v>
      </c>
      <c r="B156" s="1" t="s">
        <v>6</v>
      </c>
      <c r="C156" s="1" t="s">
        <v>12</v>
      </c>
      <c r="D156" s="1" t="s">
        <v>16</v>
      </c>
      <c r="E156" s="6">
        <v>19</v>
      </c>
      <c r="F156" s="8">
        <v>761</v>
      </c>
      <c r="G156" s="1">
        <f t="shared" si="4"/>
        <v>14459</v>
      </c>
    </row>
    <row r="157" spans="1:7" x14ac:dyDescent="0.3">
      <c r="A157" s="2">
        <v>45397</v>
      </c>
      <c r="B157" s="1" t="s">
        <v>6</v>
      </c>
      <c r="C157" s="1" t="s">
        <v>10</v>
      </c>
      <c r="D157" s="1" t="s">
        <v>17</v>
      </c>
      <c r="E157" s="6">
        <v>19</v>
      </c>
      <c r="F157" s="8">
        <v>576</v>
      </c>
      <c r="G157" s="1">
        <f t="shared" si="4"/>
        <v>10944</v>
      </c>
    </row>
    <row r="158" spans="1:7" x14ac:dyDescent="0.3">
      <c r="A158" s="2">
        <v>45642</v>
      </c>
      <c r="B158" s="1" t="s">
        <v>6</v>
      </c>
      <c r="C158" s="1" t="s">
        <v>14</v>
      </c>
      <c r="D158" s="1" t="s">
        <v>17</v>
      </c>
      <c r="E158" s="6">
        <v>16</v>
      </c>
      <c r="F158" s="8">
        <v>599</v>
      </c>
      <c r="G158" s="1">
        <f t="shared" si="4"/>
        <v>9584</v>
      </c>
    </row>
    <row r="159" spans="1:7" x14ac:dyDescent="0.3">
      <c r="A159" s="2">
        <v>45468</v>
      </c>
      <c r="B159" s="1" t="s">
        <v>6</v>
      </c>
      <c r="C159" s="1" t="s">
        <v>14</v>
      </c>
      <c r="D159" s="1" t="s">
        <v>19</v>
      </c>
      <c r="E159" s="6">
        <v>4</v>
      </c>
      <c r="F159" s="8">
        <v>189</v>
      </c>
      <c r="G159" s="1">
        <f t="shared" si="4"/>
        <v>756</v>
      </c>
    </row>
    <row r="160" spans="1:7" x14ac:dyDescent="0.3">
      <c r="A160" s="2">
        <v>45349</v>
      </c>
      <c r="B160" s="1" t="s">
        <v>6</v>
      </c>
      <c r="C160" s="1" t="s">
        <v>12</v>
      </c>
      <c r="D160" s="1" t="s">
        <v>17</v>
      </c>
      <c r="E160" s="6">
        <v>9</v>
      </c>
      <c r="F160" s="8">
        <v>522</v>
      </c>
      <c r="G160" s="1">
        <f t="shared" si="4"/>
        <v>4698</v>
      </c>
    </row>
    <row r="161" spans="1:7" x14ac:dyDescent="0.3">
      <c r="A161" s="2">
        <v>45519</v>
      </c>
      <c r="B161" s="1" t="s">
        <v>6</v>
      </c>
      <c r="C161" s="1" t="s">
        <v>12</v>
      </c>
      <c r="D161" s="1" t="s">
        <v>17</v>
      </c>
      <c r="E161" s="6">
        <v>14</v>
      </c>
      <c r="F161" s="8">
        <v>694</v>
      </c>
      <c r="G161" s="1">
        <f t="shared" si="4"/>
        <v>9716</v>
      </c>
    </row>
    <row r="162" spans="1:7" x14ac:dyDescent="0.3">
      <c r="A162" s="2">
        <v>45502</v>
      </c>
      <c r="B162" s="1" t="s">
        <v>8</v>
      </c>
      <c r="C162" s="1" t="s">
        <v>10</v>
      </c>
      <c r="D162" s="1" t="s">
        <v>17</v>
      </c>
      <c r="E162" s="6">
        <v>16</v>
      </c>
      <c r="F162" s="8">
        <v>381</v>
      </c>
      <c r="G162" s="1">
        <f t="shared" ref="G162:G193" si="5">E162*F162</f>
        <v>6096</v>
      </c>
    </row>
    <row r="163" spans="1:7" x14ac:dyDescent="0.3">
      <c r="A163" s="2">
        <v>45615</v>
      </c>
      <c r="B163" s="1" t="s">
        <v>8</v>
      </c>
      <c r="C163" s="1" t="s">
        <v>13</v>
      </c>
      <c r="D163" s="1" t="s">
        <v>17</v>
      </c>
      <c r="E163" s="6">
        <v>18</v>
      </c>
      <c r="F163" s="8">
        <v>833</v>
      </c>
      <c r="G163" s="1">
        <f t="shared" si="5"/>
        <v>14994</v>
      </c>
    </row>
    <row r="164" spans="1:7" x14ac:dyDescent="0.3">
      <c r="A164" s="2">
        <v>45323</v>
      </c>
      <c r="B164" s="1" t="s">
        <v>8</v>
      </c>
      <c r="C164" s="1" t="s">
        <v>13</v>
      </c>
      <c r="D164" s="1" t="s">
        <v>18</v>
      </c>
      <c r="E164" s="6">
        <v>6</v>
      </c>
      <c r="F164" s="8">
        <v>765</v>
      </c>
      <c r="G164" s="1">
        <f t="shared" si="5"/>
        <v>4590</v>
      </c>
    </row>
    <row r="165" spans="1:7" x14ac:dyDescent="0.3">
      <c r="A165" s="2">
        <v>45389</v>
      </c>
      <c r="B165" s="1" t="s">
        <v>8</v>
      </c>
      <c r="C165" s="1" t="s">
        <v>14</v>
      </c>
      <c r="D165" s="1" t="s">
        <v>18</v>
      </c>
      <c r="E165" s="6">
        <v>18</v>
      </c>
      <c r="F165" s="8">
        <v>159</v>
      </c>
      <c r="G165" s="1">
        <f t="shared" si="5"/>
        <v>2862</v>
      </c>
    </row>
    <row r="166" spans="1:7" x14ac:dyDescent="0.3">
      <c r="A166" s="2">
        <v>45504</v>
      </c>
      <c r="B166" s="1" t="s">
        <v>8</v>
      </c>
      <c r="C166" s="1" t="s">
        <v>11</v>
      </c>
      <c r="D166" s="1" t="s">
        <v>18</v>
      </c>
      <c r="E166" s="6">
        <v>12</v>
      </c>
      <c r="F166" s="8">
        <v>545</v>
      </c>
      <c r="G166" s="1">
        <f t="shared" si="5"/>
        <v>6540</v>
      </c>
    </row>
    <row r="167" spans="1:7" x14ac:dyDescent="0.3">
      <c r="A167" s="2">
        <v>45560</v>
      </c>
      <c r="B167" s="1" t="s">
        <v>8</v>
      </c>
      <c r="C167" s="1" t="s">
        <v>13</v>
      </c>
      <c r="D167" s="1" t="s">
        <v>16</v>
      </c>
      <c r="E167" s="6">
        <v>17</v>
      </c>
      <c r="F167" s="8">
        <v>803</v>
      </c>
      <c r="G167" s="1">
        <f t="shared" si="5"/>
        <v>13651</v>
      </c>
    </row>
    <row r="168" spans="1:7" x14ac:dyDescent="0.3">
      <c r="A168" s="2">
        <v>45547</v>
      </c>
      <c r="B168" s="1" t="s">
        <v>8</v>
      </c>
      <c r="C168" s="1" t="s">
        <v>13</v>
      </c>
      <c r="D168" s="1" t="s">
        <v>16</v>
      </c>
      <c r="E168" s="6">
        <v>18</v>
      </c>
      <c r="F168" s="8">
        <v>592</v>
      </c>
      <c r="G168" s="1">
        <f t="shared" si="5"/>
        <v>10656</v>
      </c>
    </row>
    <row r="169" spans="1:7" x14ac:dyDescent="0.3">
      <c r="A169" s="2">
        <v>45402</v>
      </c>
      <c r="B169" s="1" t="s">
        <v>8</v>
      </c>
      <c r="C169" s="1" t="s">
        <v>13</v>
      </c>
      <c r="D169" s="1" t="s">
        <v>15</v>
      </c>
      <c r="E169" s="6">
        <v>18</v>
      </c>
      <c r="F169" s="8">
        <v>869</v>
      </c>
      <c r="G169" s="1">
        <f t="shared" si="5"/>
        <v>15642</v>
      </c>
    </row>
    <row r="170" spans="1:7" x14ac:dyDescent="0.3">
      <c r="A170" s="2">
        <v>45427</v>
      </c>
      <c r="B170" s="1" t="s">
        <v>8</v>
      </c>
      <c r="C170" s="1" t="s">
        <v>10</v>
      </c>
      <c r="D170" s="1" t="s">
        <v>16</v>
      </c>
      <c r="E170" s="6">
        <v>18</v>
      </c>
      <c r="F170" s="8">
        <v>994</v>
      </c>
      <c r="G170" s="1">
        <f t="shared" si="5"/>
        <v>17892</v>
      </c>
    </row>
    <row r="171" spans="1:7" x14ac:dyDescent="0.3">
      <c r="A171" s="2">
        <v>45316</v>
      </c>
      <c r="B171" s="1" t="s">
        <v>8</v>
      </c>
      <c r="C171" s="1" t="s">
        <v>13</v>
      </c>
      <c r="D171" s="1" t="s">
        <v>15</v>
      </c>
      <c r="E171" s="6">
        <v>18</v>
      </c>
      <c r="F171" s="8">
        <v>180</v>
      </c>
      <c r="G171" s="1">
        <f t="shared" si="5"/>
        <v>3240</v>
      </c>
    </row>
    <row r="172" spans="1:7" x14ac:dyDescent="0.3">
      <c r="A172" s="2">
        <v>45336</v>
      </c>
      <c r="B172" s="1" t="s">
        <v>8</v>
      </c>
      <c r="C172" s="1" t="s">
        <v>13</v>
      </c>
      <c r="D172" s="1" t="s">
        <v>15</v>
      </c>
      <c r="E172" s="6">
        <v>16</v>
      </c>
      <c r="F172" s="8">
        <v>164</v>
      </c>
      <c r="G172" s="1">
        <f t="shared" si="5"/>
        <v>2624</v>
      </c>
    </row>
    <row r="173" spans="1:7" x14ac:dyDescent="0.3">
      <c r="A173" s="2">
        <v>45371</v>
      </c>
      <c r="B173" s="1" t="s">
        <v>8</v>
      </c>
      <c r="C173" s="1" t="s">
        <v>12</v>
      </c>
      <c r="D173" s="1" t="s">
        <v>18</v>
      </c>
      <c r="E173" s="6">
        <v>17</v>
      </c>
      <c r="F173" s="8">
        <v>476</v>
      </c>
      <c r="G173" s="1">
        <f t="shared" si="5"/>
        <v>8092</v>
      </c>
    </row>
    <row r="174" spans="1:7" x14ac:dyDescent="0.3">
      <c r="A174" s="2">
        <v>45622</v>
      </c>
      <c r="B174" s="1" t="s">
        <v>8</v>
      </c>
      <c r="C174" s="1" t="s">
        <v>11</v>
      </c>
      <c r="D174" s="1" t="s">
        <v>17</v>
      </c>
      <c r="E174" s="6">
        <v>13</v>
      </c>
      <c r="F174" s="8">
        <v>346</v>
      </c>
      <c r="G174" s="1">
        <f t="shared" si="5"/>
        <v>4498</v>
      </c>
    </row>
    <row r="175" spans="1:7" x14ac:dyDescent="0.3">
      <c r="A175" s="2">
        <v>45491</v>
      </c>
      <c r="B175" s="1" t="s">
        <v>8</v>
      </c>
      <c r="C175" s="1" t="s">
        <v>14</v>
      </c>
      <c r="D175" s="1" t="s">
        <v>17</v>
      </c>
      <c r="E175" s="6">
        <v>14</v>
      </c>
      <c r="F175" s="8">
        <v>606</v>
      </c>
      <c r="G175" s="1">
        <f t="shared" si="5"/>
        <v>8484</v>
      </c>
    </row>
    <row r="176" spans="1:7" x14ac:dyDescent="0.3">
      <c r="A176" s="2">
        <v>45353</v>
      </c>
      <c r="B176" s="1" t="s">
        <v>8</v>
      </c>
      <c r="C176" s="1" t="s">
        <v>12</v>
      </c>
      <c r="D176" s="1" t="s">
        <v>18</v>
      </c>
      <c r="E176" s="6">
        <v>16</v>
      </c>
      <c r="F176" s="8">
        <v>711</v>
      </c>
      <c r="G176" s="1">
        <f t="shared" si="5"/>
        <v>11376</v>
      </c>
    </row>
    <row r="177" spans="1:7" x14ac:dyDescent="0.3">
      <c r="A177" s="2">
        <v>45638</v>
      </c>
      <c r="B177" s="1" t="s">
        <v>8</v>
      </c>
      <c r="C177" s="1" t="s">
        <v>12</v>
      </c>
      <c r="D177" s="1" t="s">
        <v>19</v>
      </c>
      <c r="E177" s="6">
        <v>2</v>
      </c>
      <c r="F177" s="8">
        <v>212</v>
      </c>
      <c r="G177" s="1">
        <f t="shared" si="5"/>
        <v>424</v>
      </c>
    </row>
    <row r="178" spans="1:7" x14ac:dyDescent="0.3">
      <c r="A178" s="2">
        <v>45636</v>
      </c>
      <c r="B178" s="1" t="s">
        <v>8</v>
      </c>
      <c r="C178" s="1" t="s">
        <v>12</v>
      </c>
      <c r="D178" s="1" t="s">
        <v>17</v>
      </c>
      <c r="E178" s="6">
        <v>1</v>
      </c>
      <c r="F178" s="8">
        <v>547</v>
      </c>
      <c r="G178" s="1">
        <f t="shared" si="5"/>
        <v>547</v>
      </c>
    </row>
    <row r="179" spans="1:7" x14ac:dyDescent="0.3">
      <c r="A179" s="2">
        <v>45448</v>
      </c>
      <c r="B179" s="1" t="s">
        <v>8</v>
      </c>
      <c r="C179" s="1" t="s">
        <v>13</v>
      </c>
      <c r="D179" s="1" t="s">
        <v>19</v>
      </c>
      <c r="E179" s="6">
        <v>14</v>
      </c>
      <c r="F179" s="8">
        <v>896</v>
      </c>
      <c r="G179" s="1">
        <f t="shared" si="5"/>
        <v>12544</v>
      </c>
    </row>
    <row r="180" spans="1:7" x14ac:dyDescent="0.3">
      <c r="A180" s="2">
        <v>45574</v>
      </c>
      <c r="B180" s="1" t="s">
        <v>8</v>
      </c>
      <c r="C180" s="1" t="s">
        <v>10</v>
      </c>
      <c r="D180" s="1" t="s">
        <v>16</v>
      </c>
      <c r="E180" s="6">
        <v>9</v>
      </c>
      <c r="F180" s="8">
        <v>311</v>
      </c>
      <c r="G180" s="1">
        <f t="shared" si="5"/>
        <v>2799</v>
      </c>
    </row>
    <row r="181" spans="1:7" x14ac:dyDescent="0.3">
      <c r="A181" s="2">
        <v>45496</v>
      </c>
      <c r="B181" s="1" t="s">
        <v>8</v>
      </c>
      <c r="C181" s="1" t="s">
        <v>12</v>
      </c>
      <c r="D181" s="1" t="s">
        <v>19</v>
      </c>
      <c r="E181" s="6">
        <v>1</v>
      </c>
      <c r="F181" s="8">
        <v>183</v>
      </c>
      <c r="G181" s="1">
        <f t="shared" si="5"/>
        <v>183</v>
      </c>
    </row>
    <row r="182" spans="1:7" x14ac:dyDescent="0.3">
      <c r="A182" s="2">
        <v>45408</v>
      </c>
      <c r="B182" s="1" t="s">
        <v>8</v>
      </c>
      <c r="C182" s="1" t="s">
        <v>13</v>
      </c>
      <c r="D182" s="1" t="s">
        <v>18</v>
      </c>
      <c r="E182" s="6">
        <v>16</v>
      </c>
      <c r="F182" s="8">
        <v>373</v>
      </c>
      <c r="G182" s="1">
        <f t="shared" si="5"/>
        <v>5968</v>
      </c>
    </row>
    <row r="183" spans="1:7" x14ac:dyDescent="0.3">
      <c r="A183" s="2">
        <v>45567</v>
      </c>
      <c r="B183" s="1" t="s">
        <v>8</v>
      </c>
      <c r="C183" s="1" t="s">
        <v>13</v>
      </c>
      <c r="D183" s="1" t="s">
        <v>15</v>
      </c>
      <c r="E183" s="6">
        <v>11</v>
      </c>
      <c r="F183" s="8">
        <v>957</v>
      </c>
      <c r="G183" s="1">
        <f t="shared" si="5"/>
        <v>10527</v>
      </c>
    </row>
    <row r="184" spans="1:7" x14ac:dyDescent="0.3">
      <c r="A184" s="2">
        <v>45420</v>
      </c>
      <c r="B184" s="1" t="s">
        <v>8</v>
      </c>
      <c r="C184" s="1" t="s">
        <v>14</v>
      </c>
      <c r="D184" s="1" t="s">
        <v>18</v>
      </c>
      <c r="E184" s="6">
        <v>10</v>
      </c>
      <c r="F184" s="8">
        <v>483</v>
      </c>
      <c r="G184" s="1">
        <f t="shared" si="5"/>
        <v>4830</v>
      </c>
    </row>
    <row r="185" spans="1:7" x14ac:dyDescent="0.3">
      <c r="A185" s="2">
        <v>45439</v>
      </c>
      <c r="B185" s="1" t="s">
        <v>8</v>
      </c>
      <c r="C185" s="1" t="s">
        <v>14</v>
      </c>
      <c r="D185" s="1" t="s">
        <v>19</v>
      </c>
      <c r="E185" s="6">
        <v>3</v>
      </c>
      <c r="F185" s="8">
        <v>989</v>
      </c>
      <c r="G185" s="1">
        <f t="shared" si="5"/>
        <v>2967</v>
      </c>
    </row>
    <row r="186" spans="1:7" x14ac:dyDescent="0.3">
      <c r="A186" s="2">
        <v>45505</v>
      </c>
      <c r="B186" s="1" t="s">
        <v>8</v>
      </c>
      <c r="C186" s="1" t="s">
        <v>12</v>
      </c>
      <c r="D186" s="1" t="s">
        <v>16</v>
      </c>
      <c r="E186" s="6">
        <v>3</v>
      </c>
      <c r="F186" s="8">
        <v>712</v>
      </c>
      <c r="G186" s="1">
        <f t="shared" si="5"/>
        <v>2136</v>
      </c>
    </row>
    <row r="187" spans="1:7" x14ac:dyDescent="0.3">
      <c r="A187" s="2">
        <v>45478</v>
      </c>
      <c r="B187" s="1" t="s">
        <v>8</v>
      </c>
      <c r="C187" s="1" t="s">
        <v>13</v>
      </c>
      <c r="D187" s="1" t="s">
        <v>18</v>
      </c>
      <c r="E187" s="6">
        <v>6</v>
      </c>
      <c r="F187" s="8">
        <v>812</v>
      </c>
      <c r="G187" s="1">
        <f t="shared" si="5"/>
        <v>4872</v>
      </c>
    </row>
    <row r="188" spans="1:7" x14ac:dyDescent="0.3">
      <c r="A188" s="2">
        <v>45602</v>
      </c>
      <c r="B188" s="1" t="s">
        <v>8</v>
      </c>
      <c r="C188" s="1" t="s">
        <v>13</v>
      </c>
      <c r="D188" s="1" t="s">
        <v>19</v>
      </c>
      <c r="E188" s="6">
        <v>7</v>
      </c>
      <c r="F188" s="8">
        <v>482</v>
      </c>
      <c r="G188" s="1">
        <f t="shared" si="5"/>
        <v>3374</v>
      </c>
    </row>
    <row r="189" spans="1:7" x14ac:dyDescent="0.3">
      <c r="A189" s="2">
        <v>45497</v>
      </c>
      <c r="B189" s="1" t="s">
        <v>8</v>
      </c>
      <c r="C189" s="1" t="s">
        <v>14</v>
      </c>
      <c r="D189" s="1" t="s">
        <v>17</v>
      </c>
      <c r="E189" s="6">
        <v>12</v>
      </c>
      <c r="F189" s="8">
        <v>331</v>
      </c>
      <c r="G189" s="1">
        <f t="shared" si="5"/>
        <v>3972</v>
      </c>
    </row>
    <row r="190" spans="1:7" x14ac:dyDescent="0.3">
      <c r="A190" s="2">
        <v>45483</v>
      </c>
      <c r="B190" s="1" t="s">
        <v>8</v>
      </c>
      <c r="C190" s="1" t="s">
        <v>12</v>
      </c>
      <c r="D190" s="1" t="s">
        <v>19</v>
      </c>
      <c r="E190" s="6">
        <v>10</v>
      </c>
      <c r="F190" s="8">
        <v>731</v>
      </c>
      <c r="G190" s="1">
        <f t="shared" si="5"/>
        <v>7310</v>
      </c>
    </row>
    <row r="191" spans="1:7" x14ac:dyDescent="0.3">
      <c r="A191" s="2">
        <v>45390</v>
      </c>
      <c r="B191" s="1" t="s">
        <v>8</v>
      </c>
      <c r="C191" s="1" t="s">
        <v>13</v>
      </c>
      <c r="D191" s="1" t="s">
        <v>16</v>
      </c>
      <c r="E191" s="6">
        <v>10</v>
      </c>
      <c r="F191" s="8">
        <v>851</v>
      </c>
      <c r="G191" s="1">
        <f t="shared" si="5"/>
        <v>8510</v>
      </c>
    </row>
    <row r="192" spans="1:7" x14ac:dyDescent="0.3">
      <c r="A192" s="2">
        <v>45484</v>
      </c>
      <c r="B192" s="1" t="s">
        <v>8</v>
      </c>
      <c r="C192" s="1" t="s">
        <v>12</v>
      </c>
      <c r="D192" s="1" t="s">
        <v>17</v>
      </c>
      <c r="E192" s="6">
        <v>11</v>
      </c>
      <c r="F192" s="8">
        <v>575</v>
      </c>
      <c r="G192" s="1">
        <f t="shared" si="5"/>
        <v>6325</v>
      </c>
    </row>
    <row r="193" spans="1:7" x14ac:dyDescent="0.3">
      <c r="A193" s="2">
        <v>45656</v>
      </c>
      <c r="B193" s="1" t="s">
        <v>8</v>
      </c>
      <c r="C193" s="1" t="s">
        <v>11</v>
      </c>
      <c r="D193" s="1" t="s">
        <v>16</v>
      </c>
      <c r="E193" s="6">
        <v>11</v>
      </c>
      <c r="F193" s="8">
        <v>497</v>
      </c>
      <c r="G193" s="1">
        <f t="shared" si="5"/>
        <v>5467</v>
      </c>
    </row>
    <row r="194" spans="1:7" x14ac:dyDescent="0.3">
      <c r="A194" s="2">
        <v>45625</v>
      </c>
      <c r="B194" s="1" t="s">
        <v>8</v>
      </c>
      <c r="C194" s="1" t="s">
        <v>12</v>
      </c>
      <c r="D194" s="1" t="s">
        <v>18</v>
      </c>
      <c r="E194" s="6">
        <v>19</v>
      </c>
      <c r="F194" s="8">
        <v>925</v>
      </c>
      <c r="G194" s="1">
        <f t="shared" ref="G194:G225" si="6">E194*F194</f>
        <v>17575</v>
      </c>
    </row>
    <row r="195" spans="1:7" x14ac:dyDescent="0.3">
      <c r="A195" s="2">
        <v>45397</v>
      </c>
      <c r="B195" s="1" t="s">
        <v>8</v>
      </c>
      <c r="C195" s="1" t="s">
        <v>14</v>
      </c>
      <c r="D195" s="1" t="s">
        <v>15</v>
      </c>
      <c r="E195" s="6">
        <v>20</v>
      </c>
      <c r="F195" s="8">
        <v>201</v>
      </c>
      <c r="G195" s="1">
        <f t="shared" si="6"/>
        <v>4020</v>
      </c>
    </row>
    <row r="196" spans="1:7" x14ac:dyDescent="0.3">
      <c r="A196" s="2">
        <v>45496</v>
      </c>
      <c r="B196" s="1" t="s">
        <v>8</v>
      </c>
      <c r="C196" s="1" t="s">
        <v>11</v>
      </c>
      <c r="D196" s="1" t="s">
        <v>18</v>
      </c>
      <c r="E196" s="6">
        <v>6</v>
      </c>
      <c r="F196" s="8">
        <v>747</v>
      </c>
      <c r="G196" s="1">
        <f t="shared" si="6"/>
        <v>4482</v>
      </c>
    </row>
    <row r="197" spans="1:7" x14ac:dyDescent="0.3">
      <c r="A197" s="2">
        <v>45527</v>
      </c>
      <c r="B197" s="1" t="s">
        <v>8</v>
      </c>
      <c r="C197" s="1" t="s">
        <v>11</v>
      </c>
      <c r="D197" s="1" t="s">
        <v>16</v>
      </c>
      <c r="E197" s="6">
        <v>14</v>
      </c>
      <c r="F197" s="8">
        <v>841</v>
      </c>
      <c r="G197" s="1">
        <f t="shared" si="6"/>
        <v>11774</v>
      </c>
    </row>
    <row r="198" spans="1:7" x14ac:dyDescent="0.3">
      <c r="A198" s="2">
        <v>45414</v>
      </c>
      <c r="B198" s="1" t="s">
        <v>8</v>
      </c>
      <c r="C198" s="1" t="s">
        <v>13</v>
      </c>
      <c r="D198" s="1" t="s">
        <v>15</v>
      </c>
      <c r="E198" s="6">
        <v>11</v>
      </c>
      <c r="F198" s="8">
        <v>454</v>
      </c>
      <c r="G198" s="1">
        <f t="shared" si="6"/>
        <v>4994</v>
      </c>
    </row>
    <row r="199" spans="1:7" x14ac:dyDescent="0.3">
      <c r="A199" s="2">
        <v>45637</v>
      </c>
      <c r="B199" s="1" t="s">
        <v>8</v>
      </c>
      <c r="C199" s="1" t="s">
        <v>11</v>
      </c>
      <c r="D199" s="1" t="s">
        <v>18</v>
      </c>
      <c r="E199" s="6">
        <v>6</v>
      </c>
      <c r="F199" s="8">
        <v>872</v>
      </c>
      <c r="G199" s="1">
        <f t="shared" si="6"/>
        <v>5232</v>
      </c>
    </row>
    <row r="200" spans="1:7" x14ac:dyDescent="0.3">
      <c r="A200" s="2">
        <v>45526</v>
      </c>
      <c r="B200" s="1" t="s">
        <v>8</v>
      </c>
      <c r="C200" s="1" t="s">
        <v>13</v>
      </c>
      <c r="D200" s="1" t="s">
        <v>15</v>
      </c>
      <c r="E200" s="6">
        <v>10</v>
      </c>
      <c r="F200" s="8">
        <v>545</v>
      </c>
      <c r="G200" s="1">
        <f t="shared" si="6"/>
        <v>5450</v>
      </c>
    </row>
    <row r="201" spans="1:7" x14ac:dyDescent="0.3">
      <c r="A201" s="2">
        <v>45605</v>
      </c>
      <c r="B201" s="1" t="s">
        <v>8</v>
      </c>
      <c r="C201" s="1" t="s">
        <v>11</v>
      </c>
      <c r="D201" s="1" t="s">
        <v>15</v>
      </c>
      <c r="E201" s="6">
        <v>5</v>
      </c>
      <c r="F201" s="8">
        <v>746</v>
      </c>
      <c r="G201" s="1">
        <f t="shared" si="6"/>
        <v>3730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744DD-73F0-4165-B80D-F60BF66E9939}">
  <sheetPr codeName="Sheet2"/>
  <dimension ref="A1:B8"/>
  <sheetViews>
    <sheetView workbookViewId="0">
      <selection activeCell="B5" sqref="B5"/>
    </sheetView>
  </sheetViews>
  <sheetFormatPr defaultRowHeight="14.4" x14ac:dyDescent="0.3"/>
  <cols>
    <col min="1" max="1" width="12.5546875" bestFit="1" customWidth="1"/>
    <col min="2" max="2" width="16.44140625" bestFit="1" customWidth="1"/>
  </cols>
  <sheetData>
    <row r="1" spans="1:2" x14ac:dyDescent="0.3">
      <c r="A1" s="9" t="s">
        <v>2</v>
      </c>
      <c r="B1" t="s">
        <v>23</v>
      </c>
    </row>
    <row r="3" spans="1:2" x14ac:dyDescent="0.3">
      <c r="A3" s="9" t="s">
        <v>20</v>
      </c>
      <c r="B3" t="s">
        <v>22</v>
      </c>
    </row>
    <row r="4" spans="1:2" x14ac:dyDescent="0.3">
      <c r="A4" s="10" t="s">
        <v>9</v>
      </c>
      <c r="B4" s="8">
        <v>286163</v>
      </c>
    </row>
    <row r="5" spans="1:2" x14ac:dyDescent="0.3">
      <c r="A5" s="10" t="s">
        <v>7</v>
      </c>
      <c r="B5" s="8">
        <v>373567</v>
      </c>
    </row>
    <row r="6" spans="1:2" x14ac:dyDescent="0.3">
      <c r="A6" s="10" t="s">
        <v>6</v>
      </c>
      <c r="B6" s="8">
        <v>351149</v>
      </c>
    </row>
    <row r="7" spans="1:2" x14ac:dyDescent="0.3">
      <c r="A7" s="10" t="s">
        <v>8</v>
      </c>
      <c r="B7" s="8">
        <v>271249</v>
      </c>
    </row>
    <row r="8" spans="1:2" x14ac:dyDescent="0.3">
      <c r="A8" s="10" t="s">
        <v>21</v>
      </c>
      <c r="B8" s="8">
        <v>1282128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456C3-AB02-4250-B6F3-E93E99D1D832}">
  <sheetPr codeName="Sheet3"/>
  <dimension ref="A1:B16"/>
  <sheetViews>
    <sheetView workbookViewId="0">
      <selection activeCell="B4" sqref="B4"/>
    </sheetView>
  </sheetViews>
  <sheetFormatPr defaultRowHeight="14.4" x14ac:dyDescent="0.3"/>
  <cols>
    <col min="1" max="1" width="12.5546875" bestFit="1" customWidth="1"/>
    <col min="2" max="2" width="16.44140625" bestFit="1" customWidth="1"/>
  </cols>
  <sheetData>
    <row r="1" spans="1:2" x14ac:dyDescent="0.3">
      <c r="A1" s="9" t="s">
        <v>1</v>
      </c>
      <c r="B1" t="s">
        <v>23</v>
      </c>
    </row>
    <row r="3" spans="1:2" x14ac:dyDescent="0.3">
      <c r="A3" s="9" t="s">
        <v>20</v>
      </c>
      <c r="B3" t="s">
        <v>22</v>
      </c>
    </row>
    <row r="4" spans="1:2" x14ac:dyDescent="0.3">
      <c r="A4" s="10" t="s">
        <v>24</v>
      </c>
      <c r="B4" s="8">
        <v>93983</v>
      </c>
    </row>
    <row r="5" spans="1:2" x14ac:dyDescent="0.3">
      <c r="A5" s="10" t="s">
        <v>25</v>
      </c>
      <c r="B5" s="8">
        <v>98519</v>
      </c>
    </row>
    <row r="6" spans="1:2" x14ac:dyDescent="0.3">
      <c r="A6" s="10" t="s">
        <v>26</v>
      </c>
      <c r="B6" s="8">
        <v>78466</v>
      </c>
    </row>
    <row r="7" spans="1:2" x14ac:dyDescent="0.3">
      <c r="A7" s="10" t="s">
        <v>27</v>
      </c>
      <c r="B7" s="8">
        <v>106891</v>
      </c>
    </row>
    <row r="8" spans="1:2" x14ac:dyDescent="0.3">
      <c r="A8" s="10" t="s">
        <v>28</v>
      </c>
      <c r="B8" s="8">
        <v>78794</v>
      </c>
    </row>
    <row r="9" spans="1:2" x14ac:dyDescent="0.3">
      <c r="A9" s="10" t="s">
        <v>29</v>
      </c>
      <c r="B9" s="8">
        <v>91651</v>
      </c>
    </row>
    <row r="10" spans="1:2" x14ac:dyDescent="0.3">
      <c r="A10" s="10" t="s">
        <v>30</v>
      </c>
      <c r="B10" s="8">
        <v>142780</v>
      </c>
    </row>
    <row r="11" spans="1:2" x14ac:dyDescent="0.3">
      <c r="A11" s="10" t="s">
        <v>31</v>
      </c>
      <c r="B11" s="8">
        <v>106490</v>
      </c>
    </row>
    <row r="12" spans="1:2" x14ac:dyDescent="0.3">
      <c r="A12" s="10" t="s">
        <v>32</v>
      </c>
      <c r="B12" s="8">
        <v>106389</v>
      </c>
    </row>
    <row r="13" spans="1:2" x14ac:dyDescent="0.3">
      <c r="A13" s="10" t="s">
        <v>33</v>
      </c>
      <c r="B13" s="8">
        <v>86838</v>
      </c>
    </row>
    <row r="14" spans="1:2" x14ac:dyDescent="0.3">
      <c r="A14" s="10" t="s">
        <v>34</v>
      </c>
      <c r="B14" s="8">
        <v>228482</v>
      </c>
    </row>
    <row r="15" spans="1:2" x14ac:dyDescent="0.3">
      <c r="A15" s="10" t="s">
        <v>35</v>
      </c>
      <c r="B15" s="8">
        <v>62845</v>
      </c>
    </row>
    <row r="16" spans="1:2" x14ac:dyDescent="0.3">
      <c r="A16" s="10" t="s">
        <v>21</v>
      </c>
      <c r="B16" s="8">
        <v>1282128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81514-3805-4788-BD42-F970BB9728DE}">
  <sheetPr codeName="Sheet4"/>
  <dimension ref="A3:B9"/>
  <sheetViews>
    <sheetView workbookViewId="0">
      <selection activeCell="B4" sqref="B4"/>
    </sheetView>
  </sheetViews>
  <sheetFormatPr defaultRowHeight="14.4" x14ac:dyDescent="0.3"/>
  <cols>
    <col min="1" max="1" width="12.5546875" bestFit="1" customWidth="1"/>
    <col min="2" max="2" width="16.44140625" bestFit="1" customWidth="1"/>
  </cols>
  <sheetData>
    <row r="3" spans="1:2" x14ac:dyDescent="0.3">
      <c r="A3" s="9" t="s">
        <v>20</v>
      </c>
      <c r="B3" t="s">
        <v>22</v>
      </c>
    </row>
    <row r="4" spans="1:2" x14ac:dyDescent="0.3">
      <c r="A4" s="10" t="s">
        <v>11</v>
      </c>
      <c r="B4" s="8">
        <v>300816</v>
      </c>
    </row>
    <row r="5" spans="1:2" x14ac:dyDescent="0.3">
      <c r="A5" s="10" t="s">
        <v>13</v>
      </c>
      <c r="B5" s="8">
        <v>248247</v>
      </c>
    </row>
    <row r="6" spans="1:2" x14ac:dyDescent="0.3">
      <c r="A6" s="10" t="s">
        <v>10</v>
      </c>
      <c r="B6" s="8">
        <v>202003</v>
      </c>
    </row>
    <row r="7" spans="1:2" x14ac:dyDescent="0.3">
      <c r="A7" s="10" t="s">
        <v>14</v>
      </c>
      <c r="B7" s="8">
        <v>207105</v>
      </c>
    </row>
    <row r="8" spans="1:2" x14ac:dyDescent="0.3">
      <c r="A8" s="10" t="s">
        <v>12</v>
      </c>
      <c r="B8" s="8">
        <v>323957</v>
      </c>
    </row>
    <row r="9" spans="1:2" x14ac:dyDescent="0.3">
      <c r="A9" s="10" t="s">
        <v>21</v>
      </c>
      <c r="B9" s="8">
        <v>1282128</v>
      </c>
    </row>
  </sheetData>
  <conditionalFormatting pivot="1" sqref="B4:B8">
    <cfRule type="colorScale" priority="1">
      <colorScale>
        <cfvo type="min"/>
        <cfvo type="max"/>
        <color rgb="FFFF9999"/>
        <color rgb="FF92D050"/>
      </colorScale>
    </cfRule>
  </conditionalFormatting>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BFFD-FD30-4636-95E9-1DABF27A5AC6}">
  <sheetPr codeName="Sheet5"/>
  <dimension ref="A3:B9"/>
  <sheetViews>
    <sheetView workbookViewId="0">
      <selection activeCell="N24" sqref="N24"/>
    </sheetView>
  </sheetViews>
  <sheetFormatPr defaultRowHeight="14.4" x14ac:dyDescent="0.3"/>
  <cols>
    <col min="1" max="1" width="12.5546875" bestFit="1" customWidth="1"/>
    <col min="2" max="2" width="16.44140625" bestFit="1" customWidth="1"/>
  </cols>
  <sheetData>
    <row r="3" spans="1:2" x14ac:dyDescent="0.3">
      <c r="A3" s="9" t="s">
        <v>20</v>
      </c>
      <c r="B3" t="s">
        <v>22</v>
      </c>
    </row>
    <row r="4" spans="1:2" x14ac:dyDescent="0.3">
      <c r="A4" s="10" t="s">
        <v>19</v>
      </c>
      <c r="B4" s="8">
        <v>248359</v>
      </c>
    </row>
    <row r="5" spans="1:2" x14ac:dyDescent="0.3">
      <c r="A5" s="10" t="s">
        <v>18</v>
      </c>
      <c r="B5" s="8">
        <v>230932</v>
      </c>
    </row>
    <row r="6" spans="1:2" x14ac:dyDescent="0.3">
      <c r="A6" s="10" t="s">
        <v>17</v>
      </c>
      <c r="B6" s="8">
        <v>297944</v>
      </c>
    </row>
    <row r="7" spans="1:2" x14ac:dyDescent="0.3">
      <c r="A7" s="10" t="s">
        <v>15</v>
      </c>
      <c r="B7" s="8">
        <v>244689</v>
      </c>
    </row>
    <row r="8" spans="1:2" x14ac:dyDescent="0.3">
      <c r="A8" s="10" t="s">
        <v>16</v>
      </c>
      <c r="B8" s="8">
        <v>260204</v>
      </c>
    </row>
    <row r="9" spans="1:2" x14ac:dyDescent="0.3">
      <c r="A9" s="10" t="s">
        <v>21</v>
      </c>
      <c r="B9" s="8">
        <v>1282128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C4EFE-3DBF-485F-B1BE-F714A7B691AD}">
  <sheetPr codeName="Sheet6"/>
  <dimension ref="A1"/>
  <sheetViews>
    <sheetView workbookViewId="0">
      <selection activeCell="R28" sqref="R2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1B198-DB5F-4919-BAF6-4968CE5CF81E}">
  <sheetPr codeName="Sheet7"/>
  <dimension ref="A1:C1"/>
  <sheetViews>
    <sheetView workbookViewId="0">
      <selection activeCell="L16" sqref="L16"/>
    </sheetView>
  </sheetViews>
  <sheetFormatPr defaultRowHeight="14.4" x14ac:dyDescent="0.3"/>
  <sheetData>
    <row r="1" spans="1:3" x14ac:dyDescent="0.3">
      <c r="A1" t="s">
        <v>37</v>
      </c>
      <c r="B1" t="s">
        <v>37</v>
      </c>
      <c r="C1" t="s">
        <v>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Userform_1">
                <anchor moveWithCells="1" sizeWithCells="1">
                  <from>
                    <xdr:col>6</xdr:col>
                    <xdr:colOff>594360</xdr:colOff>
                    <xdr:row>4</xdr:row>
                    <xdr:rowOff>152400</xdr:rowOff>
                  </from>
                  <to>
                    <xdr:col>10</xdr:col>
                    <xdr:colOff>601980</xdr:colOff>
                    <xdr:row>9</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A6D39A61-5BD1-49D4-BC4E-9EAD2267F167}">
  <ds:schemaRefs/>
</ds:datastoreItem>
</file>

<file path=customXml/itemProps2.xml><?xml version="1.0" encoding="utf-8"?>
<ds:datastoreItem xmlns:ds="http://schemas.openxmlformats.org/officeDocument/2006/customXml" ds:itemID="{AC2F8BD9-AE81-4629-A892-AFF7EB858141}">
  <ds:schemaRefs/>
</ds:datastoreItem>
</file>

<file path=customXml/itemProps3.xml><?xml version="1.0" encoding="utf-8"?>
<ds:datastoreItem xmlns:ds="http://schemas.openxmlformats.org/officeDocument/2006/customXml" ds:itemID="{4BC174E5-8C78-4362-8F32-F0FAE972EAC7}">
  <ds:schemaRefs/>
</ds:datastoreItem>
</file>

<file path=customXml/itemProps4.xml><?xml version="1.0" encoding="utf-8"?>
<ds:datastoreItem xmlns:ds="http://schemas.openxmlformats.org/officeDocument/2006/customXml" ds:itemID="{6AC61CD7-E5CC-41D1-898A-3E75FC1087C2}">
  <ds:schemaRefs/>
</ds:datastoreItem>
</file>

<file path=customXml/itemProps5.xml><?xml version="1.0" encoding="utf-8"?>
<ds:datastoreItem xmlns:ds="http://schemas.openxmlformats.org/officeDocument/2006/customXml" ds:itemID="{13B094EE-C300-474F-8938-B0ED057B2EFF}">
  <ds:schemaRefs/>
</ds:datastoreItem>
</file>

<file path=customXml/itemProps6.xml><?xml version="1.0" encoding="utf-8"?>
<ds:datastoreItem xmlns:ds="http://schemas.openxmlformats.org/officeDocument/2006/customXml" ds:itemID="{0460CA89-EA15-40AA-BEA8-18FEEA3691BE}">
  <ds:schemaRefs/>
</ds:datastoreItem>
</file>

<file path=customXml/itemProps7.xml><?xml version="1.0" encoding="utf-8"?>
<ds:datastoreItem xmlns:ds="http://schemas.openxmlformats.org/officeDocument/2006/customXml" ds:itemID="{E940B5BD-E1B4-462F-BC3A-0FCCC3F61845}">
  <ds:schemaRefs/>
</ds:datastoreItem>
</file>

<file path=customXml/itemProps8.xml><?xml version="1.0" encoding="utf-8"?>
<ds:datastoreItem xmlns:ds="http://schemas.openxmlformats.org/officeDocument/2006/customXml" ds:itemID="{B9B996B0-2E33-49DA-88A0-5247EDC0303F}">
  <ds:schemaRefs/>
</ds:datastoreItem>
</file>

<file path=customXml/itemProps9.xml><?xml version="1.0" encoding="utf-8"?>
<ds:datastoreItem xmlns:ds="http://schemas.openxmlformats.org/officeDocument/2006/customXml" ds:itemID="{BDBE5EBD-75B9-4DD9-B090-BB955433E7DD}">
  <ds:schemaRefs/>
</ds:datastoreItem>
</file>

<file path=customXml/itemProps10.xml><?xml version="1.0" encoding="utf-8"?>
<ds:datastoreItem xmlns:ds="http://schemas.openxmlformats.org/officeDocument/2006/customXml" ds:itemID="{14F2E22F-CAE7-47C0-BFAC-948C578CC8E2}">
  <ds:schemaRefs/>
</ds:datastoreItem>
</file>

<file path=customXml/itemProps11.xml><?xml version="1.0" encoding="utf-8"?>
<ds:datastoreItem xmlns:ds="http://schemas.openxmlformats.org/officeDocument/2006/customXml" ds:itemID="{27E6D0E6-A1D5-4D06-B804-1E183BCDBA20}">
  <ds:schemaRefs/>
</ds:datastoreItem>
</file>

<file path=customXml/itemProps12.xml><?xml version="1.0" encoding="utf-8"?>
<ds:datastoreItem xmlns:ds="http://schemas.openxmlformats.org/officeDocument/2006/customXml" ds:itemID="{3DBADA69-F71C-42CA-A318-70518644CCB6}">
  <ds:schemaRefs/>
</ds:datastoreItem>
</file>

<file path=customXml/itemProps13.xml><?xml version="1.0" encoding="utf-8"?>
<ds:datastoreItem xmlns:ds="http://schemas.openxmlformats.org/officeDocument/2006/customXml" ds:itemID="{07BF4AB0-2C6B-44D6-8C86-4628E01A2AB9}">
  <ds:schemaRefs/>
</ds:datastoreItem>
</file>

<file path=customXml/itemProps14.xml><?xml version="1.0" encoding="utf-8"?>
<ds:datastoreItem xmlns:ds="http://schemas.openxmlformats.org/officeDocument/2006/customXml" ds:itemID="{871FBC6B-A1CB-4A14-9392-F9713936DA6E}">
  <ds:schemaRefs/>
</ds:datastoreItem>
</file>

<file path=customXml/itemProps15.xml><?xml version="1.0" encoding="utf-8"?>
<ds:datastoreItem xmlns:ds="http://schemas.openxmlformats.org/officeDocument/2006/customXml" ds:itemID="{23A32A3C-3D37-4D37-B888-7221F5DAC388}">
  <ds:schemaRefs/>
</ds:datastoreItem>
</file>

<file path=customXml/itemProps16.xml><?xml version="1.0" encoding="utf-8"?>
<ds:datastoreItem xmlns:ds="http://schemas.openxmlformats.org/officeDocument/2006/customXml" ds:itemID="{9A508160-1937-47CE-A4E4-2B4F3B770D6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 dataset</vt:lpstr>
      <vt:lpstr>Total sales by region</vt:lpstr>
      <vt:lpstr>total sales by month</vt:lpstr>
      <vt:lpstr>total sales by product</vt:lpstr>
      <vt:lpstr>Total sales by sales rep</vt:lpstr>
      <vt:lpstr>Dashboard of Total sales</vt:lpstr>
      <vt:lpstr>USERFORM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 MS</dc:creator>
  <cp:lastModifiedBy>Hema MS</cp:lastModifiedBy>
  <dcterms:created xsi:type="dcterms:W3CDTF">2025-04-11T06:08:21Z</dcterms:created>
  <dcterms:modified xsi:type="dcterms:W3CDTF">2025-04-11T09:27:07Z</dcterms:modified>
</cp:coreProperties>
</file>